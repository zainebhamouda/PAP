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<sst xmlns="http://schemas.openxmlformats.org/spreadsheetml/2006/main" count="578" uniqueCount="228">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</sst>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470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WESS1\VOL1\Quality\MESBAHI\Produktaudit\PA-Berichte%202004\PA-Bericht_12-04%20AWSM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hafida.mesbahi@awsm.ma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width="25.33203125" style="30" customWidth="1"/>
    <col min="2" max="2" width="25.33203125" style="159" customWidth="1"/>
    <col min="3" max="3" width="16.88671875" style="30" bestFit="1" customWidth="1"/>
    <col min="4" max="8" width="4" style="30" customWidth="1"/>
    <col min="9" max="9" width="6.33203125" style="30" bestFit="1" customWidth="1"/>
    <col min="10" max="12" width="4" style="30" customWidth="1"/>
    <col min="13" max="13" width="7.88671875" style="30" customWidth="1"/>
    <col min="14" max="14" width="6.88671875" style="30" customWidth="1"/>
    <col min="15" max="15" width="7.88671875" style="30" customWidth="1"/>
    <col min="16" max="16" width="5.109375" style="30" customWidth="1"/>
    <col min="17" max="17" width="10.6640625" style="30" bestFit="1" customWidth="1"/>
    <col min="18" max="19" width="17.33203125" style="30" customWidth="1"/>
    <col min="20" max="20" width="13.109375" style="30" bestFit="1" customWidth="1"/>
    <col min="21" max="21" width="16.33203125" style="30" customWidth="1"/>
    <col min="22" max="22" width="7.88671875" style="30" bestFit="1" customWidth="1"/>
    <col min="23" max="23" width="7" style="30" customWidth="1"/>
    <col min="24" max="24" width="8.33203125" style="30" bestFit="1" customWidth="1"/>
    <col min="25" max="16384" width="11.44140625" style="30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&amp;L_x000D_&amp;1#&amp;"Arial"&amp;10&amp;K000000 [Internal]&amp;C&amp;A&amp;R&amp;",Normal"&amp;7   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width="3.109375" style="39" customWidth="1"/>
    <col min="2" max="2" width="14.88671875" style="39" customWidth="1"/>
    <col min="3" max="3" width="9.109375" style="39" customWidth="1"/>
    <col min="4" max="4" width="6.88671875" style="39" customWidth="1"/>
    <col min="5" max="5" width="6.44140625" style="39" customWidth="1"/>
    <col min="6" max="6" width="1.44140625" style="39" customWidth="1"/>
    <col min="7" max="7" width="6.6640625" style="39" customWidth="1"/>
    <col min="8" max="8" width="1.44140625" style="39" customWidth="1"/>
    <col min="9" max="9" width="7.109375" style="39" customWidth="1"/>
    <col min="10" max="10" width="10.5546875" style="39" customWidth="1"/>
    <col min="11" max="11" width="2.33203125" style="39" customWidth="1"/>
    <col min="12" max="12" width="4.33203125" style="39" customWidth="1"/>
    <col min="13" max="13" width="1.6640625" style="39" customWidth="1"/>
    <col min="14" max="14" width="4" style="39" customWidth="1"/>
    <col min="15" max="15" width="1.6640625" style="39" customWidth="1"/>
    <col min="16" max="16" width="7.109375" style="39" customWidth="1"/>
    <col min="17" max="17" width="1.6640625" style="39" customWidth="1"/>
    <col min="18" max="18" width="7.5546875" style="39" customWidth="1"/>
    <col min="19" max="16384" width="11.44140625" style="39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/>
      <c r="P14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/>
      <c r="M16"/>
      <c r="N16"/>
      <c r="O16"/>
      <c r="P16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/>
      <c r="P17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/>
      <c r="M18"/>
      <c r="N18"/>
      <c r="O18"/>
      <c r="P18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/>
      <c r="P1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/>
      <c r="M20"/>
      <c r="N20"/>
      <c r="O20"/>
      <c r="P20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/>
      <c r="P21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/>
      <c r="M22"/>
      <c r="N22"/>
      <c r="O22"/>
      <c r="P22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/>
      <c r="P23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/>
      <c r="M24"/>
      <c r="N24"/>
      <c r="O24"/>
      <c r="P24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/>
      <c r="P25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/>
      <c r="M26"/>
      <c r="N26"/>
      <c r="O26"/>
      <c r="P26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/>
      <c r="P27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/>
      <c r="M28"/>
      <c r="N28"/>
      <c r="O28"/>
      <c r="P28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/>
      <c r="P2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/>
      <c r="M30"/>
      <c r="N30"/>
      <c r="O30"/>
      <c r="P30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/>
      <c r="P31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/>
      <c r="M32"/>
      <c r="N32"/>
      <c r="O32"/>
      <c r="P32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/>
      <c r="P33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/>
      <c r="M34"/>
      <c r="N34"/>
      <c r="O34"/>
      <c r="P34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/>
      <c r="P35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/>
      <c r="M36"/>
      <c r="N36"/>
      <c r="O36"/>
      <c r="P36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/>
      <c r="P37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&amp;L_x000D_&amp;1#&amp;"Arial"&amp;10&amp;K000000 [Internal]&amp;C&amp;A&amp;R&amp;",Normal"&amp;7    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5" customHeight="1" thickBot="1">
      <c r="A36" s="22"/>
      <c r="B36" s="29" t="s">
        <v>159</v>
      </c>
      <c r="C36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5" customHeight="1" thickBot="1">
      <c r="A37" s="23"/>
      <c r="B37" s="29" t="s">
        <v>160</v>
      </c>
      <c r="C37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/>
      <c r="I37"/>
      <c r="J37"/>
      <c r="K37"/>
      <c r="L37"/>
      <c r="M37" s="225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5" customHeight="1" thickBot="1">
      <c r="A38" s="23"/>
      <c r="B38" s="29" t="s">
        <v>162</v>
      </c>
      <c r="C38"/>
      <c r="D38" s="226">
        <v>0</v>
      </c>
      <c r="E38"/>
      <c r="F38"/>
      <c r="G38"/>
      <c r="H38" s="33"/>
      <c r="I38" s="33"/>
      <c r="J38"/>
      <c r="K38"/>
      <c r="L38"/>
      <c r="M38" s="24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5" customHeight="1">
      <c r="A39" s="23"/>
      <c r="B39" s="29"/>
      <c r="C39"/>
      <c r="D39"/>
      <c r="E39"/>
      <c r="F39" s="35"/>
      <c r="G39" s="33"/>
      <c r="H39" s="33"/>
      <c r="I39" s="33"/>
      <c r="J39"/>
      <c r="K39"/>
      <c r="L39"/>
      <c r="M39" s="24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/>
      <c r="F40" s="28"/>
      <c r="G40" s="33"/>
      <c r="H40" s="33"/>
      <c r="I40" s="33"/>
      <c r="J40"/>
      <c r="K40"/>
      <c r="L40"/>
      <c r="M40" s="24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35:70"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35:70"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35:70"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35:70"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35:70"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35:70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35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35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35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35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35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35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35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35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35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35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5" customHeight="1" thickBot="1">
      <c r="A36" s="22"/>
      <c r="B36" s="29" t="s">
        <v>159</v>
      </c>
      <c r="C36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5" customHeight="1" thickBot="1">
      <c r="A37" s="23"/>
      <c r="B37" s="29" t="s">
        <v>160</v>
      </c>
      <c r="C37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/>
      <c r="I37"/>
      <c r="J37"/>
      <c r="K37"/>
      <c r="L37"/>
      <c r="M37" s="225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5" customHeight="1" thickBot="1">
      <c r="A38" s="23"/>
      <c r="B38" s="29" t="s">
        <v>162</v>
      </c>
      <c r="C38"/>
      <c r="D38" s="261">
        <v>0.8</v>
      </c>
      <c r="E38"/>
      <c r="F38"/>
      <c r="G38"/>
      <c r="H38" s="33"/>
      <c r="I38" s="33"/>
      <c r="J38"/>
      <c r="K38"/>
      <c r="L38"/>
      <c r="M38" s="24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5" customHeight="1">
      <c r="A39" s="23"/>
      <c r="B39" s="29"/>
      <c r="C39"/>
      <c r="D39"/>
      <c r="E39"/>
      <c r="F39" s="35"/>
      <c r="G39" s="33"/>
      <c r="H39" s="33"/>
      <c r="I39" s="33"/>
      <c r="J39"/>
      <c r="K39"/>
      <c r="L39"/>
      <c r="M39" s="24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/>
      <c r="F40" s="28"/>
      <c r="G40" s="33"/>
      <c r="H40" s="33"/>
      <c r="I40" s="33"/>
      <c r="J40"/>
      <c r="K40"/>
      <c r="L40"/>
      <c r="M40" s="24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35:70"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35:70"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35:70"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35:70"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35:70"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35:70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35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35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35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35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35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35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35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35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35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35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2"/>
      <c r="B49" s="29" t="s">
        <v>159</v>
      </c>
      <c r="C49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 t="s">
        <v>160</v>
      </c>
      <c r="C50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/>
      <c r="I50"/>
      <c r="J50"/>
      <c r="K50"/>
      <c r="L50"/>
      <c r="M50" s="225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ht="15" customHeight="1" thickBot="1">
      <c r="A51" s="23"/>
      <c r="B51" s="29" t="s">
        <v>162</v>
      </c>
      <c r="C51"/>
      <c r="D51" s="226">
        <v>1.1000000000000001</v>
      </c>
      <c r="E51"/>
      <c r="F51"/>
      <c r="G51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ht="15" customHeight="1">
      <c r="A52" s="23"/>
      <c r="B52" s="29"/>
      <c r="C52"/>
      <c r="D52"/>
      <c r="E52"/>
      <c r="F52" s="35"/>
      <c r="G52" s="33"/>
      <c r="H52" s="33"/>
      <c r="I52" s="33"/>
      <c r="J52"/>
      <c r="K52"/>
      <c r="L52"/>
      <c r="M52" s="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/>
      <c r="F53" s="28"/>
      <c r="G53" s="33"/>
      <c r="H53" s="33"/>
      <c r="I53" s="33"/>
      <c r="J53"/>
      <c r="K53"/>
      <c r="L53"/>
      <c r="M53" s="24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 ht="12.75" customHeight="1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  <row r="176" spans="35:70"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</row>
    <row r="177" spans="35:70"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5" customHeight="1" thickBot="1">
      <c r="A40" s="22"/>
      <c r="B40" s="29" t="s">
        <v>159</v>
      </c>
      <c r="C40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5" customHeight="1" thickBot="1">
      <c r="A41" s="23"/>
      <c r="B41" s="29" t="s">
        <v>160</v>
      </c>
      <c r="C41"/>
      <c r="D41" s="286">
        <f>AVERAGE(D15:E38)</f>
        <v>6.6666666666666666E-2</v>
      </c>
      <c r="E41" s="228"/>
      <c r="F41" s="299"/>
      <c r="G41" s="288">
        <f>(SUM(G15:G38))*D41</f>
        <v>5</v>
      </c>
      <c r="H41"/>
      <c r="I41"/>
      <c r="J41"/>
      <c r="K41"/>
      <c r="L41"/>
      <c r="M41" s="225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5" customHeight="1" thickBot="1">
      <c r="A42" s="23"/>
      <c r="B42" s="29" t="s">
        <v>162</v>
      </c>
      <c r="C42"/>
      <c r="D42" s="226">
        <f>MAX(D15:E38)</f>
        <v>0.4</v>
      </c>
      <c r="E42"/>
      <c r="F42" s="300"/>
      <c r="G42"/>
      <c r="H42" s="33"/>
      <c r="I42" s="33"/>
      <c r="J42"/>
      <c r="K42"/>
      <c r="L42"/>
      <c r="M42" s="24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5" customHeight="1">
      <c r="A43" s="23"/>
      <c r="B43" s="29"/>
      <c r="C43"/>
      <c r="D43"/>
      <c r="E43"/>
      <c r="F43" s="35"/>
      <c r="G43" s="33"/>
      <c r="H43" s="33"/>
      <c r="I43" s="33"/>
      <c r="J43"/>
      <c r="K43"/>
      <c r="L43"/>
      <c r="M43" s="24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/>
      <c r="F44" s="28"/>
      <c r="G44" s="33"/>
      <c r="H44" s="33"/>
      <c r="I44" s="33"/>
      <c r="J44"/>
      <c r="K44"/>
      <c r="L44"/>
      <c r="M44" s="2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35:70"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35:70"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35:70"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35:70"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35:70"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35:70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35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35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35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35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35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35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35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35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35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35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2"/>
      <c r="B48" s="29" t="s">
        <v>159</v>
      </c>
      <c r="C48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160</v>
      </c>
      <c r="C49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/>
      <c r="I49"/>
      <c r="J49"/>
      <c r="K49"/>
      <c r="L49"/>
      <c r="M49" s="225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 t="s">
        <v>162</v>
      </c>
      <c r="C50"/>
      <c r="D50" s="226">
        <f>MAX(D24:E46)</f>
        <v>0</v>
      </c>
      <c r="E50"/>
      <c r="F50"/>
      <c r="G50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ht="15" customHeight="1">
      <c r="A51" s="23"/>
      <c r="B51" s="29"/>
      <c r="C51"/>
      <c r="D51"/>
      <c r="E51"/>
      <c r="F51" s="35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/>
      <c r="F52" s="28"/>
      <c r="G52" s="33"/>
      <c r="H52" s="33"/>
      <c r="I52" s="33"/>
      <c r="J52"/>
      <c r="K52"/>
      <c r="L52"/>
      <c r="M52" s="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 ht="12.75" customHeight="1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  <row r="176" spans="35:70"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2"/>
      <c r="B48" s="29" t="s">
        <v>159</v>
      </c>
      <c r="C48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160</v>
      </c>
      <c r="C49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/>
      <c r="I49"/>
      <c r="J49"/>
      <c r="K49"/>
      <c r="L49"/>
      <c r="M49" s="225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 t="s">
        <v>162</v>
      </c>
      <c r="C50"/>
      <c r="D50" s="226">
        <f>MAX(D24:E46)</f>
        <v>0</v>
      </c>
      <c r="E50"/>
      <c r="F50"/>
      <c r="G50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ht="15" customHeight="1">
      <c r="A51" s="23"/>
      <c r="B51" s="29"/>
      <c r="C51"/>
      <c r="D51"/>
      <c r="E51"/>
      <c r="F51" s="35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/>
      <c r="F52" s="28"/>
      <c r="G52" s="33"/>
      <c r="H52" s="33"/>
      <c r="I52" s="33"/>
      <c r="J52"/>
      <c r="K52"/>
      <c r="L52"/>
      <c r="M52" s="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 ht="12.75" customHeight="1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  <row r="176" spans="35:70"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3"/>
      <c r="B48" s="29" t="s">
        <v>160</v>
      </c>
      <c r="C48"/>
      <c r="D48" s="226">
        <f>MIN(D24:E46)</f>
        <v>0</v>
      </c>
      <c r="E48" s="228"/>
      <c r="F48" s="35" t="s">
        <v>161</v>
      </c>
      <c r="G48" s="288">
        <f>(SUM(G15:G46))*D48</f>
        <v>0</v>
      </c>
      <c r="H48"/>
      <c r="I48"/>
      <c r="J48"/>
      <c r="K48"/>
      <c r="L48"/>
      <c r="M48" s="225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162</v>
      </c>
      <c r="C49"/>
      <c r="D49" s="286">
        <f>AVERAGE(D24:E46)</f>
        <v>0</v>
      </c>
      <c r="E49"/>
      <c r="F49"/>
      <c r="G49"/>
      <c r="H49" s="33"/>
      <c r="I49" s="33"/>
      <c r="J49"/>
      <c r="K49"/>
      <c r="L49"/>
      <c r="M49" s="24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/>
      <c r="C50"/>
      <c r="D50" s="226">
        <f>MAX(D24:E46)</f>
        <v>0</v>
      </c>
      <c r="E50"/>
      <c r="F50" s="35"/>
      <c r="G50" s="33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/>
      <c r="F51" s="28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12.75" customHeight="1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3"/>
      <c r="B48" s="29" t="s">
        <v>160</v>
      </c>
      <c r="C48"/>
      <c r="D48" s="226">
        <f>MIN(D24:E46)</f>
        <v>0</v>
      </c>
      <c r="E48" s="228"/>
      <c r="F48" s="35" t="s">
        <v>161</v>
      </c>
      <c r="G48" s="288">
        <f>(SUM(G15:G46))*D48</f>
        <v>0</v>
      </c>
      <c r="H48"/>
      <c r="I48"/>
      <c r="J48"/>
      <c r="K48"/>
      <c r="L48"/>
      <c r="M48" s="225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162</v>
      </c>
      <c r="C49"/>
      <c r="D49" s="286">
        <f>AVERAGE(D24:E46)</f>
        <v>0</v>
      </c>
      <c r="E49"/>
      <c r="F49"/>
      <c r="G49"/>
      <c r="H49" s="33"/>
      <c r="I49" s="33"/>
      <c r="J49"/>
      <c r="K49"/>
      <c r="L49"/>
      <c r="M49" s="24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/>
      <c r="C50"/>
      <c r="D50" s="226">
        <f>MAX(D24:E46)</f>
        <v>0</v>
      </c>
      <c r="E50"/>
      <c r="F50" s="35"/>
      <c r="G50" s="33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/>
      <c r="F51" s="28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12.75" customHeight="1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3"/>
      <c r="B48" s="29" t="s">
        <v>160</v>
      </c>
      <c r="C48"/>
      <c r="D48" s="226">
        <f>MIN(D24:E46)</f>
        <v>0</v>
      </c>
      <c r="E48" s="228"/>
      <c r="F48" s="35" t="s">
        <v>161</v>
      </c>
      <c r="G48" s="288">
        <f>(SUM(G15:G46))*D48</f>
        <v>0</v>
      </c>
      <c r="H48"/>
      <c r="I48"/>
      <c r="J48"/>
      <c r="K48"/>
      <c r="L48"/>
      <c r="M48" s="225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162</v>
      </c>
      <c r="C49"/>
      <c r="D49" s="286">
        <f>AVERAGE(D24:E46)</f>
        <v>0</v>
      </c>
      <c r="E49"/>
      <c r="F49"/>
      <c r="G49"/>
      <c r="H49" s="33"/>
      <c r="I49" s="33"/>
      <c r="J49"/>
      <c r="K49"/>
      <c r="L49"/>
      <c r="M49" s="24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/>
      <c r="C50"/>
      <c r="D50" s="226">
        <f>MAX(D24:E46)</f>
        <v>0</v>
      </c>
      <c r="E50"/>
      <c r="F50" s="35"/>
      <c r="G50" s="33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/>
      <c r="F51" s="28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12.75" customHeight="1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3"/>
      <c r="B48" s="29" t="s">
        <v>160</v>
      </c>
      <c r="C48"/>
      <c r="D48" s="226">
        <f>MIN(D24:E46)</f>
        <v>0</v>
      </c>
      <c r="E48" s="228"/>
      <c r="F48" s="35" t="s">
        <v>161</v>
      </c>
      <c r="G48" s="288">
        <f>(SUM(G15:G46))*D48</f>
        <v>0</v>
      </c>
      <c r="H48"/>
      <c r="I48"/>
      <c r="J48"/>
      <c r="K48"/>
      <c r="L48"/>
      <c r="M48" s="225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162</v>
      </c>
      <c r="C49"/>
      <c r="D49" s="286">
        <f>AVERAGE(D24:E46)</f>
        <v>0</v>
      </c>
      <c r="E49"/>
      <c r="F49"/>
      <c r="G49"/>
      <c r="H49" s="33"/>
      <c r="I49" s="33"/>
      <c r="J49"/>
      <c r="K49"/>
      <c r="L49"/>
      <c r="M49" s="24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/>
      <c r="C50"/>
      <c r="D50" s="226">
        <f>MAX(D24:E46)</f>
        <v>0</v>
      </c>
      <c r="E50"/>
      <c r="F50" s="35"/>
      <c r="G50" s="33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/>
      <c r="F51" s="28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12.75" customHeight="1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3"/>
      <c r="B48" s="29" t="s">
        <v>160</v>
      </c>
      <c r="C48"/>
      <c r="D48" s="226">
        <f>MIN(D24:E46)</f>
        <v>0</v>
      </c>
      <c r="E48" s="228"/>
      <c r="F48" s="35" t="s">
        <v>161</v>
      </c>
      <c r="G48" s="288">
        <f>(SUM(G15:G46))*D48</f>
        <v>0</v>
      </c>
      <c r="H48"/>
      <c r="I48"/>
      <c r="J48"/>
      <c r="K48"/>
      <c r="L48"/>
      <c r="M48" s="225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162</v>
      </c>
      <c r="C49"/>
      <c r="D49" s="286">
        <f>AVERAGE(D24:E46)</f>
        <v>0</v>
      </c>
      <c r="E49"/>
      <c r="F49"/>
      <c r="G49"/>
      <c r="H49" s="33"/>
      <c r="I49" s="33"/>
      <c r="J49"/>
      <c r="K49"/>
      <c r="L49"/>
      <c r="M49" s="24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/>
      <c r="C50"/>
      <c r="D50" s="226">
        <f>MAX(D24:E46)</f>
        <v>0</v>
      </c>
      <c r="E50"/>
      <c r="F50" s="35"/>
      <c r="G50" s="33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/>
      <c r="F51" s="28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12.75" customHeight="1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width="13.33203125" style="2" customWidth="1"/>
    <col min="2" max="2" width="11.5546875" style="2" customWidth="1"/>
    <col min="3" max="3" width="6.33203125" style="2" customWidth="1"/>
    <col min="4" max="4" width="5.5546875" style="4" customWidth="1"/>
    <col min="5" max="5" width="5.6640625" style="4" customWidth="1"/>
    <col min="6" max="7" width="10.6640625" style="2" customWidth="1"/>
    <col min="8" max="13" width="5.5546875" style="2" customWidth="1"/>
    <col min="14" max="16384" width="11.44140625" style="2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</row>
    <row r="48" spans="1:70" ht="15" customHeight="1" thickBot="1">
      <c r="A48" s="23"/>
      <c r="B48" s="29" t="s">
        <v>160</v>
      </c>
      <c r="C48"/>
      <c r="D48" s="226">
        <f>MIN(D24:E46)</f>
        <v>0</v>
      </c>
      <c r="E48" s="228"/>
      <c r="F48" s="35" t="s">
        <v>161</v>
      </c>
      <c r="G48" s="288">
        <f>(SUM(G15:G46))*D48</f>
        <v>0</v>
      </c>
      <c r="H48"/>
      <c r="I48"/>
      <c r="J48"/>
      <c r="K48"/>
      <c r="L48"/>
      <c r="M48" s="225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</row>
    <row r="49" spans="1:70" ht="15" customHeight="1" thickBot="1">
      <c r="A49" s="23"/>
      <c r="B49" s="29" t="s">
        <v>162</v>
      </c>
      <c r="C49"/>
      <c r="D49" s="286">
        <f>AVERAGE(D24:E46)</f>
        <v>0</v>
      </c>
      <c r="E49"/>
      <c r="F49"/>
      <c r="G49"/>
      <c r="H49" s="33"/>
      <c r="I49" s="33"/>
      <c r="J49"/>
      <c r="K49"/>
      <c r="L49"/>
      <c r="M49" s="24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</row>
    <row r="50" spans="1:70" ht="15" customHeight="1" thickBot="1">
      <c r="A50" s="23"/>
      <c r="B50" s="29"/>
      <c r="C50"/>
      <c r="D50" s="226">
        <f>MAX(D24:E46)</f>
        <v>0</v>
      </c>
      <c r="E50"/>
      <c r="F50" s="35"/>
      <c r="G50" s="33"/>
      <c r="H50" s="33"/>
      <c r="I50" s="33"/>
      <c r="J50"/>
      <c r="K50"/>
      <c r="L50"/>
      <c r="M50" s="24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/>
      <c r="F51" s="28"/>
      <c r="G51" s="33"/>
      <c r="H51" s="33"/>
      <c r="I51" s="33"/>
      <c r="J51"/>
      <c r="K51"/>
      <c r="L51"/>
      <c r="M51" s="24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</row>
    <row r="54" spans="1:70" ht="12.75" customHeight="1"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</row>
    <row r="55" spans="1:70"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</row>
    <row r="56" spans="1:70"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</row>
    <row r="57" spans="1:70"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</row>
    <row r="58" spans="1:70"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</row>
    <row r="59" spans="1:70"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</row>
    <row r="60" spans="1:70"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</row>
    <row r="61" spans="1:70"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</row>
    <row r="62" spans="1:70"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</row>
    <row r="63" spans="1:70"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</row>
    <row r="64" spans="1:70"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</row>
    <row r="65" spans="35:70"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</row>
    <row r="66" spans="35:70"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</row>
    <row r="67" spans="35:70"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</row>
    <row r="68" spans="35:70"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</row>
    <row r="69" spans="35:70"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</row>
    <row r="70" spans="35:70"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</row>
    <row r="71" spans="35:70"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</row>
    <row r="72" spans="35:70"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</row>
    <row r="73" spans="35:70"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</row>
    <row r="74" spans="35:70"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</row>
    <row r="75" spans="35:70"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</row>
    <row r="76" spans="35:70"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</row>
    <row r="77" spans="35:70"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</row>
    <row r="78" spans="35:70"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</row>
    <row r="79" spans="35:70"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</row>
    <row r="80" spans="35:70"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</row>
    <row r="81" spans="35:70"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</row>
    <row r="82" spans="35:70"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</row>
    <row r="83" spans="35:70"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</row>
    <row r="84" spans="35:70"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</row>
    <row r="85" spans="35:70"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</row>
    <row r="86" spans="35:70"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</row>
    <row r="87" spans="35:70"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</row>
    <row r="88" spans="35:70"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</row>
    <row r="89" spans="35:70"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</row>
    <row r="90" spans="35:70"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</row>
    <row r="91" spans="35:70"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</row>
    <row r="92" spans="35:70"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</row>
    <row r="93" spans="35:70"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</row>
    <row r="94" spans="35:70"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</row>
    <row r="95" spans="35:70"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</row>
    <row r="96" spans="35:70"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</row>
    <row r="97" spans="35:70"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</row>
    <row r="98" spans="35:70"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</row>
    <row r="99" spans="35:70"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</row>
    <row r="100" spans="35:70"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</row>
    <row r="101" spans="35:70"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</row>
    <row r="102" spans="35:70"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</row>
    <row r="103" spans="35:70"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</row>
    <row r="104" spans="35:70"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</row>
    <row r="105" spans="35:70"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</row>
    <row r="106" spans="35:70"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</row>
    <row r="107" spans="35:70"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</row>
    <row r="108" spans="35:70"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</row>
    <row r="109" spans="35:70"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</row>
    <row r="110" spans="35:70"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</row>
    <row r="111" spans="35:70"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</row>
    <row r="112" spans="35:70"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</row>
    <row r="113" spans="35:70"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</row>
    <row r="114" spans="35:70"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</row>
    <row r="115" spans="35:70"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</row>
    <row r="116" spans="35:70"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</row>
    <row r="117" spans="35:70"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</row>
    <row r="118" spans="35:70"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</row>
    <row r="119" spans="35:70"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</row>
    <row r="120" spans="35:70"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</row>
    <row r="121" spans="35:70"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</row>
    <row r="122" spans="35:70"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</row>
    <row r="123" spans="35:70"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</row>
    <row r="124" spans="35:70"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</row>
    <row r="125" spans="35:70"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</row>
    <row r="126" spans="35:70"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</row>
    <row r="127" spans="35:70"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</row>
    <row r="128" spans="35:70"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</row>
    <row r="129" spans="35:70"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</row>
    <row r="130" spans="35:70"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</row>
    <row r="131" spans="35:70"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</row>
    <row r="132" spans="35:70"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</row>
    <row r="133" spans="35:70"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</row>
    <row r="134" spans="35:70"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</row>
    <row r="135" spans="35:70"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</row>
    <row r="136" spans="35:70"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</row>
    <row r="137" spans="35:70"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</row>
    <row r="138" spans="35:70"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</row>
    <row r="139" spans="35:70"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</row>
    <row r="140" spans="35:70"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</row>
    <row r="141" spans="35:70"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</row>
    <row r="142" spans="35:70"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</row>
    <row r="143" spans="35:70"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</row>
    <row r="144" spans="35:70"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</row>
    <row r="145" spans="35:70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</row>
    <row r="146" spans="35:70"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</row>
    <row r="147" spans="35:70"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</row>
    <row r="148" spans="35:70"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</row>
    <row r="149" spans="35:70"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</row>
    <row r="150" spans="35:70"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</row>
    <row r="151" spans="35:70"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</row>
    <row r="152" spans="35:70"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</row>
    <row r="153" spans="35:70"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</row>
    <row r="154" spans="35:70"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</row>
    <row r="155" spans="35:70"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</row>
    <row r="156" spans="35:70"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</row>
    <row r="157" spans="35:70"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</row>
    <row r="158" spans="35:70"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</row>
    <row r="159" spans="35:70"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</row>
    <row r="160" spans="35:70"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</row>
    <row r="161" spans="35:70"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</row>
    <row r="162" spans="35:70"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</row>
    <row r="163" spans="35:70"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</row>
    <row r="164" spans="35:70"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</row>
    <row r="165" spans="35:70"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</row>
    <row r="166" spans="35:70"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</row>
    <row r="167" spans="35:70"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</row>
    <row r="168" spans="35:70"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</row>
    <row r="169" spans="35:70"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</row>
    <row r="170" spans="35:70"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</row>
    <row r="171" spans="35:70"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</row>
    <row r="172" spans="35:70"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</row>
    <row r="173" spans="35:70"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</row>
    <row r="174" spans="35:70"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</row>
    <row r="175" spans="35:70"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&amp;L_x000D_&amp;1#&amp;"Arial"&amp;10&amp;K000000 [Internal]&amp;R&amp;",Standard"&amp;7    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Volkswagen AG</dc:creator>
  <cp:keywords/>
  <dc:description/>
  <cp:lastModifiedBy>BENAMOR, Atef</cp:lastModifiedBy>
  <cp:revision/>
  <dcterms:created xsi:type="dcterms:W3CDTF">2002-08-27T07:08:01Z</dcterms:created>
  <dcterms:modified xsi:type="dcterms:W3CDTF">2026-05-22T13:34:32Z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