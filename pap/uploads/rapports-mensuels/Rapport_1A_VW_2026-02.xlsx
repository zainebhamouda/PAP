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jpeg" Extension="jpeg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ms-office.classificationlabels+xml" PartName="/docMetadata/LabelInfo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drawing+xml" PartName="/xl/drawings/drawing5.xml"/>
  <Override ContentType="application/vnd.openxmlformats-officedocument.drawing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+xml" PartName="/xl/drawings/drawing9.xml"/>
  <Override ContentType="application/vnd.openxmlformats-officedocument.drawing+xml" PartName="/xl/drawings/drawing10.xml"/>
  <Override ContentType="application/vnd.openxmlformats-officedocument.drawing+xml" PartName="/xl/drawings/drawing11.xml"/>
  <Override ContentType="application/vnd.openxmlformats-officedocument.drawing+xml" PartName="/xl/drawings/drawing12.xml"/>
  <Override ContentType="application/vnd.openxmlformats-officedocument.drawing+xml" PartName="/xl/drawings/drawing13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Metadata/LabelInfo.xml" Type="http://schemas.microsoft.com/office/2020/02/relationships/classificationlabels"/><Relationship Id="rId3" Target="docProps/core.xml" Type="http://schemas.openxmlformats.org/package/2006/relationships/metadata/core-properties"/><Relationship Id="rId4" Target="docProps/app.xml" Type="http://schemas.openxmlformats.org/officeDocument/2006/relationships/extended-properties"/><Relationship Id="rId5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DieseArbeitsmappe"/>
  <mc:AlternateContent>
    <mc:Choice Requires="x15">
      <x15ac:absPath xmlns:x15ac="http://schemas.microsoft.com/office/spreadsheetml/2010/11/ac" url="C:\Users\beat1005\AppData\Local\Microsoft\Windows\INetCache\Content.Outlook\XK9SPK94\"/>
    </mc:Choice>
  </mc:AlternateContent>
  <xr:revisionPtr revIDLastSave="0" documentId="13_ncr:1_{B6C511DC-F161-49EF-91A1-ED590547F1B0}" xr6:coauthVersionLast="47" xr6:coauthVersionMax="47" xr10:uidLastSave="{00000000-0000-0000-0000-000000000000}"/>
  <bookViews>
    <workbookView xWindow="38280" yWindow="-120" windowWidth="29040" windowHeight="15720" tabRatio="496" firstSheet="3" activeTab="6" xr2:uid="{00000000-000D-0000-FFFF-FFFF00000000}"/>
  </bookViews>
  <sheets>
    <sheet name="Dateneingabe" sheetId="22821" state="hidden" r:id="rId1"/>
    <sheet name="Gesamtübersicht" sheetId="3" state="hidden" r:id="rId2"/>
    <sheet name="Janvier" sheetId="45927" r:id="rId3"/>
    <sheet name="Fevrier" sheetId="45928" r:id="rId4"/>
    <sheet name="Mars" sheetId="45929" r:id="rId5"/>
    <sheet name="Avril" sheetId="45930" r:id="rId6"/>
    <sheet name="Mai" sheetId="45931" r:id="rId7"/>
    <sheet name="Juin" sheetId="45932" r:id="rId8"/>
    <sheet name="Juillet" sheetId="45933" r:id="rId9"/>
    <sheet name="Aout" sheetId="45934" r:id="rId10"/>
    <sheet name="Septembre" sheetId="45935" r:id="rId11"/>
    <sheet name="Octobre" sheetId="45936" r:id="rId12"/>
    <sheet name="Novembre" sheetId="45937" r:id="rId13"/>
    <sheet name="Décembre" sheetId="45938" r:id="rId14"/>
  </sheets>
  <externalReferences>
    <externalReference r:id="rId15"/>
  </externalReferences>
  <definedNames>
    <definedName name="_xlnm.Database">'[1]Datenblatt 2'!#REF!</definedName>
    <definedName name="_xlnm.Criteria">'[1]Datenblatt 2'!#REF!</definedName>
    <definedName name="Di">#REF!</definedName>
    <definedName name="_xlnm.Extract">'[1]Datenblatt 2'!#REF!</definedName>
    <definedName name="Z_4BE970B0_4DED_493C_87AA_2C3C39409D38_.wvu.PrintArea" localSheetId="0" hidden="1">Dateneingabe!$T$2:$X$31</definedName>
    <definedName name="Z_505DC460_E6CC_447F_A548_C320D91AE87A_.wvu.PrintArea" localSheetId="0" hidden="1">Dateneingabe!$A$1:$R$41</definedName>
    <definedName name="Z_AA76191A_BA03_4510_BBD6_D217E9F0632C_.wvu.PrintArea" localSheetId="0" hidden="1">Dateneingabe!$A$1:$R$41</definedName>
    <definedName name="_xlnm.Print_Area" localSheetId="9">Aout!$A$1:$M$52</definedName>
    <definedName name="_xlnm.Print_Area" localSheetId="5">Avril!$A$1:$M$45</definedName>
    <definedName name="_xlnm.Print_Area" localSheetId="0">Dateneingabe!$T$2:$X$31</definedName>
    <definedName name="_xlnm.Print_Area" localSheetId="13">Décembre!$A$1:$M$52</definedName>
    <definedName name="_xlnm.Print_Area" localSheetId="3">Fevrier!$A$1:$M$41</definedName>
    <definedName name="_xlnm.Print_Area" localSheetId="2">Janvier!$A$1:$M$41</definedName>
    <definedName name="_xlnm.Print_Area" localSheetId="8">Juillet!$A$1:$M$52</definedName>
    <definedName name="_xlnm.Print_Area" localSheetId="7">Juin!$A$1:$M$53</definedName>
    <definedName name="_xlnm.Print_Area" localSheetId="6">Mai!$A$1:$M$53</definedName>
    <definedName name="_xlnm.Print_Area" localSheetId="4">Mars!$A$1:$M$54</definedName>
    <definedName name="_xlnm.Print_Area" localSheetId="12">Novembre!$A$1:$M$52</definedName>
    <definedName name="_xlnm.Print_Area" localSheetId="11">Octobre!$A$1:$M$52</definedName>
    <definedName name="_xlnm.Print_Area" localSheetId="10">Septembre!$A$1:$M$52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0" i="45933" l="1"/>
  <c r="D49" i="45933"/>
  <c r="D48" i="45933"/>
  <c r="G48" i="45933" s="1"/>
  <c r="D50" i="45934"/>
  <c r="D49" i="45934"/>
  <c r="D48" i="45934"/>
  <c r="G48" i="45934" s="1"/>
  <c r="D50" i="45935"/>
  <c r="D49" i="45935"/>
  <c r="D48" i="45935"/>
  <c r="G48" i="45935" s="1"/>
  <c r="D50" i="45936"/>
  <c r="D49" i="45936"/>
  <c r="D48" i="45936"/>
  <c r="G48" i="45936" s="1"/>
  <c r="D50" i="45937"/>
  <c r="D49" i="45937"/>
  <c r="D48" i="45937"/>
  <c r="G48" i="45937" s="1"/>
  <c r="D50" i="45938"/>
  <c r="D49" i="45938"/>
  <c r="D48" i="45938"/>
  <c r="G48" i="45938" s="1"/>
  <c r="D50" i="45932"/>
  <c r="D49" i="45932"/>
  <c r="G49" i="45932" s="1"/>
  <c r="D48" i="45932"/>
  <c r="D50" i="45931"/>
  <c r="D49" i="45931"/>
  <c r="G49" i="45931" s="1"/>
  <c r="D48" i="45931"/>
  <c r="D42" i="45930"/>
  <c r="D40" i="45930"/>
  <c r="D37" i="45927"/>
  <c r="G37" i="45927" s="1"/>
  <c r="D41" i="45930"/>
  <c r="G41" i="45930" s="1"/>
  <c r="G37" i="45928"/>
  <c r="D37" i="45928"/>
  <c r="D50" i="45929"/>
  <c r="G50" i="45929"/>
  <c r="N21" i="22821"/>
  <c r="N6" i="22821"/>
  <c r="N5" i="22821"/>
  <c r="C30" i="22821"/>
  <c r="E27" i="22821"/>
  <c r="F27" i="22821"/>
  <c r="G27" i="22821"/>
  <c r="I27" i="22821"/>
  <c r="J27" i="22821"/>
  <c r="K27" i="22821"/>
  <c r="L27" i="22821"/>
  <c r="D27" i="22821"/>
  <c r="N8" i="22821"/>
  <c r="N7" i="22821"/>
  <c r="H5" i="22821"/>
  <c r="H6" i="22821"/>
  <c r="H7" i="22821"/>
  <c r="H8" i="22821"/>
  <c r="H9" i="22821"/>
  <c r="H10" i="22821"/>
  <c r="H11" i="22821"/>
  <c r="H13" i="22821"/>
  <c r="H14" i="22821"/>
  <c r="H12" i="22821"/>
  <c r="H25" i="22821"/>
  <c r="H26" i="22821"/>
  <c r="N14" i="22821"/>
  <c r="N13" i="22821"/>
  <c r="N12" i="22821"/>
  <c r="N11" i="22821"/>
  <c r="N10" i="22821"/>
  <c r="N9" i="22821"/>
  <c r="U30" i="22821"/>
  <c r="H15" i="22821"/>
  <c r="N15" i="22821"/>
  <c r="H16" i="22821"/>
  <c r="N16" i="22821"/>
  <c r="H17" i="22821"/>
  <c r="N17" i="22821"/>
  <c r="H18" i="22821"/>
  <c r="N18" i="22821"/>
  <c r="H19" i="22821"/>
  <c r="N19" i="22821"/>
  <c r="H20" i="22821"/>
  <c r="N20" i="22821"/>
  <c r="H21" i="22821"/>
  <c r="H22" i="22821"/>
  <c r="N22" i="22821"/>
  <c r="H23" i="22821"/>
  <c r="N23" i="22821"/>
  <c r="H24" i="22821"/>
  <c r="N24" i="22821"/>
  <c r="N25" i="22821"/>
  <c r="N26" i="22821"/>
  <c r="O2" i="3"/>
  <c r="J14" i="3"/>
</calcChain>
</file>

<file path=xl/sharedStrings.xml><?xml version="1.0" encoding="utf-8"?>
<sst xmlns="http://schemas.openxmlformats.org/spreadsheetml/2006/main" count="580" uniqueCount="230">
  <si>
    <t>Rapport mensuel:</t>
  </si>
  <si>
    <t>Juli 2005</t>
  </si>
  <si>
    <t>Contrôleur:</t>
  </si>
  <si>
    <t>Fr. Mesbahi</t>
  </si>
  <si>
    <t>QK (classe de qualité)</t>
  </si>
  <si>
    <t>Points x coef</t>
  </si>
  <si>
    <t>QK Max</t>
  </si>
  <si>
    <t xml:space="preserve">QK </t>
  </si>
  <si>
    <t>QK Min</t>
  </si>
  <si>
    <t>Désignation/ TAB</t>
  </si>
  <si>
    <t>Date de schémas</t>
  </si>
  <si>
    <t>Charge</t>
  </si>
  <si>
    <t>Nombre de déclinaison</t>
  </si>
  <si>
    <t>Coef-ficient</t>
  </si>
  <si>
    <t>QK</t>
  </si>
  <si>
    <t>FP</t>
  </si>
  <si>
    <t>Stations</t>
  </si>
  <si>
    <t>KW 02</t>
  </si>
  <si>
    <t>N° de VW / Date contrôle</t>
  </si>
  <si>
    <t>Fa</t>
  </si>
  <si>
    <t>D</t>
  </si>
  <si>
    <t>C</t>
  </si>
  <si>
    <t>Fo</t>
  </si>
  <si>
    <t>S</t>
  </si>
  <si>
    <t>Mora</t>
  </si>
  <si>
    <t>6Q1 971 043 A</t>
  </si>
  <si>
    <t>373 - 400</t>
  </si>
  <si>
    <t>Mauvais</t>
  </si>
  <si>
    <t>Inra</t>
  </si>
  <si>
    <t xml:space="preserve">6Q2 971 043 A </t>
  </si>
  <si>
    <t>345 - 372</t>
  </si>
  <si>
    <t>Movo</t>
  </si>
  <si>
    <t>6Q1 971 139 A</t>
  </si>
  <si>
    <t>318 - 344</t>
  </si>
  <si>
    <t>Autarken</t>
  </si>
  <si>
    <t>6Q2 971 139 A</t>
  </si>
  <si>
    <t>292 - 317</t>
  </si>
  <si>
    <t>KW 03</t>
  </si>
  <si>
    <t>6Q0 971 204 D</t>
  </si>
  <si>
    <t>267 - 291</t>
  </si>
  <si>
    <t>009 844 AC</t>
  </si>
  <si>
    <t>243 - 266</t>
  </si>
  <si>
    <t>009 844 L</t>
  </si>
  <si>
    <t>220 - 242</t>
  </si>
  <si>
    <t>6Q0 971 120 A</t>
  </si>
  <si>
    <t>198 - 219</t>
  </si>
  <si>
    <t>6Q0 971 121 A</t>
  </si>
  <si>
    <t>177 - 197</t>
  </si>
  <si>
    <t>KW 04</t>
  </si>
  <si>
    <t>6Q4 971 161 A</t>
  </si>
  <si>
    <t>157 - 176</t>
  </si>
  <si>
    <t>TAB 016 260 R 1/2</t>
  </si>
  <si>
    <t>138 - 156</t>
  </si>
  <si>
    <t>Limite critique VWAG</t>
  </si>
  <si>
    <t>-</t>
  </si>
  <si>
    <t>TAB 016 260 R 2/2</t>
  </si>
  <si>
    <t>120 - 137</t>
  </si>
  <si>
    <t>TAB 009 824 KA</t>
  </si>
  <si>
    <t>103 - 119</t>
  </si>
  <si>
    <t>TAB 019 158</t>
  </si>
  <si>
    <t>86  102</t>
  </si>
  <si>
    <t>KW 05</t>
  </si>
  <si>
    <t>6Q0 971 516</t>
  </si>
  <si>
    <t>70 - 85</t>
  </si>
  <si>
    <t>036 971  627 BS-BT</t>
  </si>
  <si>
    <t>55 - 69</t>
  </si>
  <si>
    <t>Valeur cible VWAG</t>
  </si>
  <si>
    <t>036 971  627 BS</t>
  </si>
  <si>
    <t>41 - 54</t>
  </si>
  <si>
    <t>036 971  627 CA/CB</t>
  </si>
  <si>
    <t>27 - 40</t>
  </si>
  <si>
    <t>036 971  627 CA</t>
  </si>
  <si>
    <t>14 - 26</t>
  </si>
  <si>
    <t>KW 06</t>
  </si>
  <si>
    <t>TAB 009 824 JN</t>
  </si>
  <si>
    <t>0-13</t>
  </si>
  <si>
    <t>Valeur cible QK AWSM</t>
  </si>
  <si>
    <t>TAB 009 824 HQ</t>
  </si>
  <si>
    <t>- 0</t>
  </si>
  <si>
    <t>Très bien</t>
  </si>
  <si>
    <t>06A 971 627 NR</t>
  </si>
  <si>
    <t>SOMME</t>
  </si>
  <si>
    <t>Remarques:</t>
  </si>
  <si>
    <t>Câbles contrôlés</t>
  </si>
  <si>
    <t>Supérieur à la limite critique&gt; 1</t>
  </si>
  <si>
    <t>Fa  :  Fabrication</t>
  </si>
  <si>
    <t>D    :   Défectueux</t>
  </si>
  <si>
    <t>Résultats totaux</t>
  </si>
  <si>
    <t>Actuel</t>
  </si>
  <si>
    <t>mois précédent</t>
  </si>
  <si>
    <t>QK min</t>
  </si>
  <si>
    <t>cible VWAG</t>
  </si>
  <si>
    <t>Graphique</t>
  </si>
  <si>
    <t>C    :  Construction</t>
  </si>
  <si>
    <t>Fo   :  Fournisseur</t>
  </si>
  <si>
    <t>Moyenne des points</t>
  </si>
  <si>
    <t>Jan</t>
  </si>
  <si>
    <t>QK  Avril</t>
  </si>
  <si>
    <t>QK max</t>
  </si>
  <si>
    <t>Feb</t>
  </si>
  <si>
    <t>Mär</t>
  </si>
  <si>
    <t>Apr</t>
  </si>
  <si>
    <t>Mai</t>
  </si>
  <si>
    <t xml:space="preserve">Attention! </t>
  </si>
  <si>
    <t>Jun</t>
  </si>
  <si>
    <t xml:space="preserve">Les données serons inscrites seulement dans les </t>
  </si>
  <si>
    <t>Jul</t>
  </si>
  <si>
    <t>cellules blanches !</t>
  </si>
  <si>
    <t>Aug</t>
  </si>
  <si>
    <t xml:space="preserve">Les données sont transmises automatiquement </t>
  </si>
  <si>
    <t>Sep</t>
  </si>
  <si>
    <t>vers les feuilles "FAX, Documentation d'erreurs</t>
  </si>
  <si>
    <t>Okt</t>
  </si>
  <si>
    <t>et les feuilles de données".</t>
  </si>
  <si>
    <t>Nov</t>
  </si>
  <si>
    <t>Dez</t>
  </si>
  <si>
    <t>Monatsbericht</t>
  </si>
  <si>
    <t>Monat / Jahr</t>
  </si>
  <si>
    <t>Produktaudit Leitungsstränge</t>
  </si>
  <si>
    <t>An</t>
  </si>
  <si>
    <t>Von</t>
  </si>
  <si>
    <t>Hr. Šándor</t>
  </si>
  <si>
    <t>Volkswagen AG, Wolfsburg</t>
  </si>
  <si>
    <t>Firma</t>
  </si>
  <si>
    <t>:</t>
  </si>
  <si>
    <t>VWESS</t>
  </si>
  <si>
    <t>K-QS-4E Konzern Qualitätssicherung Beschaffung</t>
  </si>
  <si>
    <t>Abteilung</t>
  </si>
  <si>
    <t>Qualitätsmanagement</t>
  </si>
  <si>
    <t>Hr. Uwe Müller / Walter Prilop</t>
  </si>
  <si>
    <t>Koordinator</t>
  </si>
  <si>
    <t>Fax : +49 / (0)5361 / 957 - 72449</t>
  </si>
  <si>
    <t>Tel. - Nr.</t>
  </si>
  <si>
    <t xml:space="preserve"> + 421 37 5659 234</t>
  </si>
  <si>
    <t>E-Mail : uwe.mueller@volkswagen.de</t>
  </si>
  <si>
    <t>E - mail</t>
  </si>
  <si>
    <t>audit@vwes.sk</t>
  </si>
  <si>
    <t>cc : walter.prilop@volkswagen.de</t>
  </si>
  <si>
    <t>A - Fertigungsstätten,
B - Modul- / Unterlieferanten,
C - ausgelagerte Fertigungen,
D - "verlängerte Werkbanken"</t>
  </si>
  <si>
    <t>Aktueller Monat :</t>
  </si>
  <si>
    <t>Anzahl
geprüfter
Ltg.stränge</t>
  </si>
  <si>
    <r>
      <t xml:space="preserve">QK </t>
    </r>
    <r>
      <rPr>
        <sz val="8"/>
        <rFont val="Arial"/>
        <family val="2"/>
      </rPr>
      <t>min.</t>
    </r>
  </si>
  <si>
    <r>
      <t>QK</t>
    </r>
    <r>
      <rPr>
        <sz val="10"/>
        <rFont val="Arial"/>
        <family val="2"/>
      </rPr>
      <t xml:space="preserve"> </t>
    </r>
    <r>
      <rPr>
        <sz val="8"/>
        <rFont val="Arial"/>
        <family val="2"/>
      </rPr>
      <t>max.</t>
    </r>
  </si>
  <si>
    <t>Bemerkungen:</t>
  </si>
  <si>
    <t>Monthly Report 
Product Audit Wire Harnesses</t>
  </si>
  <si>
    <t>Overview of results</t>
  </si>
  <si>
    <t>Vehicle type(s) :</t>
  </si>
  <si>
    <t>Manufacturing Plant  :</t>
  </si>
  <si>
    <t>Part Description:</t>
  </si>
  <si>
    <t>Quality Class
(QK)</t>
  </si>
  <si>
    <t>Number of defects</t>
  </si>
  <si>
    <t>Total points allocated</t>
  </si>
  <si>
    <t>Rating Factor</t>
  </si>
  <si>
    <t xml:space="preserve"> Audit -Type</t>
  </si>
  <si>
    <t>Drawing Number / Identification</t>
  </si>
  <si>
    <t>Destructive
D</t>
  </si>
  <si>
    <t>Non Destructive
N</t>
  </si>
  <si>
    <t>Production Date:</t>
  </si>
  <si>
    <t>Product Auditor</t>
  </si>
  <si>
    <t>QK min. :</t>
  </si>
  <si>
    <t>QK :</t>
  </si>
  <si>
    <t>Average Points</t>
  </si>
  <si>
    <t>QK max. :</t>
  </si>
  <si>
    <t xml:space="preserve">Harnesses audited : ( ) </t>
  </si>
  <si>
    <t>In ___ cases the threshold was exceeded.</t>
  </si>
  <si>
    <t>Porta Avant-sx-JJ</t>
  </si>
  <si>
    <t xml:space="preserve">52203915 / 52211889          </t>
  </si>
  <si>
    <t>Portellone-sx-JJ</t>
  </si>
  <si>
    <t>52233487 /52233475</t>
  </si>
  <si>
    <t xml:space="preserve">
Month / Year        02/2026</t>
  </si>
  <si>
    <t>Bumper Ant Fiat-600</t>
  </si>
  <si>
    <t>52215791 /52249596</t>
  </si>
  <si>
    <t>Front Bumper-966</t>
  </si>
  <si>
    <t>50577005/50581199</t>
  </si>
  <si>
    <t>Portellone-SX-364</t>
  </si>
  <si>
    <t>52237077/52235597</t>
  </si>
  <si>
    <t>52211652/52264622</t>
  </si>
  <si>
    <t>PDB-516-GDX</t>
  </si>
  <si>
    <t>Arriere Alfa Kid</t>
  </si>
  <si>
    <t>50579899 /50576995</t>
  </si>
  <si>
    <t>Front Alfa Kid</t>
  </si>
  <si>
    <t>50585559 /50576993</t>
  </si>
  <si>
    <t>Porta Avant DX</t>
  </si>
  <si>
    <t>Front Bumper 516</t>
  </si>
  <si>
    <t>Avant Panda Extention</t>
  </si>
  <si>
    <t>PDB-516 GSX</t>
  </si>
  <si>
    <t>Portellone SX516</t>
  </si>
  <si>
    <t>/52197534</t>
  </si>
  <si>
    <t>52203918 /52249536</t>
  </si>
  <si>
    <t>52232532 /52247910</t>
  </si>
  <si>
    <t>20203913 /52264652</t>
  </si>
  <si>
    <t>52233483 /52255548</t>
  </si>
  <si>
    <t xml:space="preserve">
Month / Year        01/2026</t>
  </si>
  <si>
    <t xml:space="preserve">
Month / Year        03/2026</t>
  </si>
  <si>
    <t>PORTA POST.SX</t>
  </si>
  <si>
    <t>51893431 /51842459</t>
  </si>
  <si>
    <t>PORTA  ANTER.LP.GSX</t>
  </si>
  <si>
    <t>51742410 /51893366</t>
  </si>
  <si>
    <t xml:space="preserve">ARRIERE JJ </t>
  </si>
  <si>
    <t>52203914/52275875</t>
  </si>
  <si>
    <t>Doors Front-364 DX</t>
  </si>
  <si>
    <t>52215789/52206438</t>
  </si>
  <si>
    <t>PDB-516</t>
  </si>
  <si>
    <t>52203913 /52264651</t>
  </si>
  <si>
    <t>24/24/2026</t>
  </si>
  <si>
    <t xml:space="preserve">
Month / Year
04/2026</t>
  </si>
  <si>
    <t xml:space="preserve">
Month / Year
05/2026</t>
  </si>
  <si>
    <t xml:space="preserve">
Month / Year
06/2026</t>
  </si>
  <si>
    <t xml:space="preserve">
Month / Year
07/2026</t>
  </si>
  <si>
    <t xml:space="preserve">
Month / Year
08/2026</t>
  </si>
  <si>
    <t xml:space="preserve">
Month / Year
09/2026</t>
  </si>
  <si>
    <t xml:space="preserve">
Month / Year
10/2026</t>
  </si>
  <si>
    <t xml:space="preserve">
Month / Year
11/2026</t>
  </si>
  <si>
    <t xml:space="preserve">
Month / Year
12/2026</t>
  </si>
  <si>
    <t>Porta Avant SX</t>
  </si>
  <si>
    <t>52215788 /52215788</t>
  </si>
  <si>
    <t>PORTELLONE SX FIAT 600</t>
  </si>
  <si>
    <t>52235592  /  52235829</t>
  </si>
  <si>
    <t>BUMPER  POST JJ</t>
  </si>
  <si>
    <t>52211881  /52203919</t>
  </si>
  <si>
    <t>AVANT JJ-516</t>
  </si>
  <si>
    <t>52260595  /52203912</t>
  </si>
  <si>
    <t>ARR FIAT 600</t>
  </si>
  <si>
    <t>52231891  /52215786</t>
  </si>
  <si>
    <t xml:space="preserve">PORTELONE SX ALFA KID </t>
  </si>
  <si>
    <t>Front Fiat 600</t>
  </si>
  <si>
    <t>52215784 /52274113</t>
  </si>
  <si>
    <t>0,7</t>
  </si>
  <si>
    <t>Month / Year : 02/2026</t>
  </si>
  <si>
    <t>Manufacturing Plant : VW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</si>
</sst>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#,##0.00\ &quot;DM&quot;;[Red]\-#,##0.00\ &quot;DM&quot;"/>
    <numFmt numFmtId="165" formatCode="&quot;DM&quot;#,##0;[Red]\-&quot;DM&quot;#,##0"/>
    <numFmt numFmtId="166" formatCode="0.0"/>
    <numFmt numFmtId="167" formatCode="0;;\-"/>
    <numFmt numFmtId="168" formatCode="mmmm\ yy"/>
    <numFmt numFmtId="169" formatCode="dd/mm/yy;@"/>
    <numFmt numFmtId="170" formatCode="0.0000"/>
  </numFmts>
  <fonts count="40">
    <font>
      <sz val="10"/>
      <name val="Helv"/>
    </font>
    <font>
      <b/>
      <sz val="10"/>
      <name val="Helv"/>
    </font>
    <font>
      <sz val="10"/>
      <name val="Helv"/>
    </font>
    <font>
      <b/>
      <sz val="10"/>
      <name val="Univers"/>
      <family val="2"/>
    </font>
    <font>
      <b/>
      <sz val="10"/>
      <name val="Arial"/>
      <family val="2"/>
      <charset val="238"/>
    </font>
    <font>
      <sz val="10"/>
      <name val="Arial"/>
      <family val="2"/>
      <charset val="238"/>
    </font>
    <font>
      <b/>
      <sz val="14"/>
      <name val="Arial"/>
      <family val="2"/>
      <charset val="238"/>
    </font>
    <font>
      <sz val="11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</font>
    <font>
      <sz val="9"/>
      <name val="Arial"/>
      <family val="2"/>
    </font>
    <font>
      <b/>
      <sz val="9"/>
      <name val="Arial"/>
      <family val="2"/>
      <charset val="238"/>
    </font>
    <font>
      <b/>
      <sz val="14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sz val="8"/>
      <name val="Arial"/>
      <family val="2"/>
    </font>
    <font>
      <b/>
      <sz val="11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1"/>
      <name val="Arial"/>
      <family val="2"/>
    </font>
    <font>
      <sz val="8"/>
      <name val="Helv"/>
    </font>
    <font>
      <sz val="10"/>
      <color indexed="23"/>
      <name val="Arial"/>
      <family val="2"/>
      <charset val="238"/>
    </font>
    <font>
      <u/>
      <sz val="10"/>
      <color indexed="12"/>
      <name val="Helv"/>
    </font>
    <font>
      <b/>
      <sz val="11"/>
      <color indexed="10"/>
      <name val="Arial"/>
      <family val="2"/>
    </font>
    <font>
      <b/>
      <sz val="8"/>
      <name val="Arial"/>
      <family val="2"/>
    </font>
    <font>
      <b/>
      <sz val="10"/>
      <color indexed="10"/>
      <name val="Arial"/>
      <family val="2"/>
    </font>
    <font>
      <sz val="8"/>
      <color indexed="10"/>
      <name val="Arial"/>
      <family val="2"/>
    </font>
    <font>
      <b/>
      <sz val="10"/>
      <name val="Symbol"/>
      <family val="1"/>
      <charset val="2"/>
    </font>
    <font>
      <u/>
      <sz val="11"/>
      <color indexed="10"/>
      <name val="Arial"/>
      <family val="2"/>
    </font>
    <font>
      <b/>
      <sz val="12"/>
      <color indexed="10"/>
      <name val="Arial"/>
      <family val="2"/>
    </font>
    <font>
      <b/>
      <sz val="22"/>
      <color indexed="10"/>
      <name val="Arial"/>
      <family val="2"/>
    </font>
    <font>
      <b/>
      <u/>
      <sz val="12"/>
      <color indexed="10"/>
      <name val="Arial"/>
      <family val="2"/>
    </font>
    <font>
      <sz val="12"/>
      <color indexed="10"/>
      <name val="Arial"/>
      <family val="2"/>
    </font>
    <font>
      <b/>
      <sz val="8"/>
      <color indexed="10"/>
      <name val="Arial"/>
      <family val="2"/>
    </font>
    <font>
      <sz val="9"/>
      <name val="Arial"/>
      <family val="2"/>
      <charset val="238"/>
    </font>
    <font>
      <sz val="8"/>
      <name val="Helv"/>
      <charset val="238"/>
    </font>
    <font>
      <b/>
      <sz val="12"/>
      <name val="Helv"/>
    </font>
    <font>
      <b/>
      <sz val="12"/>
      <name val="Arial"/>
      <family val="2"/>
      <charset val="238"/>
    </font>
    <font>
      <sz val="10"/>
      <color indexed="10"/>
      <name val="Arial"/>
      <family val="2"/>
    </font>
    <font>
      <sz val="8"/>
      <name val="Arial"/>
      <family val="2"/>
      <charset val="238"/>
    </font>
  </fonts>
  <fills count="17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FF0000"/>
        <bgColor indexed="64"/>
      </patternFill>
    </fill>
    <fill>
      <patternFill patternType="none">
        <fgColor indexed="3"/>
      </patternFill>
    </fill>
    <fill>
      <patternFill patternType="solid">
        <fgColor indexed="3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10"/>
      </patternFill>
    </fill>
    <fill>
      <patternFill patternType="solid">
        <fgColor indexed="10"/>
      </patternFill>
    </fill>
  </fills>
  <borders count="84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dotted">
        <color indexed="64"/>
      </right>
      <top/>
      <bottom/>
      <diagonal/>
    </border>
    <border>
      <left style="medium">
        <color indexed="64"/>
      </left>
      <right/>
      <top/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dotted">
        <color indexed="64"/>
      </right>
      <top/>
      <bottom style="dotted">
        <color indexed="64"/>
      </bottom>
      <diagonal/>
    </border>
    <border>
      <left/>
      <right style="medium">
        <color indexed="64"/>
      </right>
      <top/>
      <bottom style="dotted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ck">
        <color indexed="1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10"/>
      </bottom>
      <diagonal/>
    </border>
    <border>
      <left/>
      <right style="thick">
        <color indexed="10"/>
      </right>
      <top/>
      <bottom style="thick">
        <color indexed="1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10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ck">
        <color indexed="10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ck">
        <color indexed="10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ck">
        <color indexed="10"/>
      </bottom>
      <diagonal/>
    </border>
    <border>
      <left style="thick">
        <color indexed="10"/>
      </left>
      <right/>
      <top style="thick">
        <color indexed="10"/>
      </top>
      <bottom/>
      <diagonal/>
    </border>
    <border>
      <left/>
      <right/>
      <top style="thick">
        <color indexed="10"/>
      </top>
      <bottom/>
      <diagonal/>
    </border>
    <border>
      <left/>
      <right style="thick">
        <color indexed="10"/>
      </right>
      <top style="thick">
        <color indexed="10"/>
      </top>
      <bottom/>
      <diagonal/>
    </border>
    <border>
      <left style="medium">
        <color indexed="64"/>
      </left>
      <right style="medium">
        <color indexed="64"/>
      </right>
      <top/>
      <bottom style="thick">
        <color indexed="10"/>
      </bottom>
      <diagonal/>
    </border>
    <border>
      <left style="thick">
        <color indexed="10"/>
      </left>
      <right style="thin">
        <color indexed="64"/>
      </right>
      <top/>
      <bottom style="thin">
        <color indexed="64"/>
      </bottom>
      <diagonal/>
    </border>
    <border>
      <left style="thick">
        <color indexed="1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10"/>
      </left>
      <right style="thick">
        <color indexed="10"/>
      </right>
      <top/>
      <bottom style="thick">
        <color indexed="10"/>
      </bottom>
      <diagonal/>
    </border>
    <border>
      <left style="thick">
        <color indexed="10"/>
      </left>
      <right style="thin">
        <color indexed="64"/>
      </right>
      <top style="thin">
        <color indexed="64"/>
      </top>
      <bottom style="thick">
        <color indexed="10"/>
      </bottom>
      <diagonal/>
    </border>
    <border>
      <left style="medium">
        <color indexed="64"/>
      </left>
      <right style="thin">
        <color indexed="64"/>
      </right>
      <top/>
      <bottom style="thick">
        <color indexed="10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dotted">
        <color indexed="64"/>
      </left>
      <right style="dotted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dotted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ck">
        <color indexed="10"/>
      </right>
      <top style="thin">
        <color indexed="64"/>
      </top>
      <bottom/>
      <diagonal/>
    </border>
    <border>
      <left style="thin">
        <color indexed="64"/>
      </left>
      <right style="thick">
        <color indexed="10"/>
      </right>
      <top/>
      <bottom/>
      <diagonal/>
    </border>
    <border>
      <left style="thin">
        <color indexed="64"/>
      </left>
      <right style="thick">
        <color indexed="10"/>
      </right>
      <top style="thin">
        <color indexed="64"/>
      </top>
      <bottom style="thick">
        <color indexed="10"/>
      </bottom>
      <diagonal/>
    </border>
    <border>
      <left style="medium">
        <color indexed="64"/>
      </left>
      <right/>
      <top style="thick">
        <color indexed="10"/>
      </top>
      <bottom style="thick">
        <color indexed="10"/>
      </bottom>
      <diagonal/>
    </border>
    <border>
      <left/>
      <right/>
      <top style="thick">
        <color indexed="10"/>
      </top>
      <bottom style="thick">
        <color indexed="10"/>
      </bottom>
      <diagonal/>
    </border>
    <border>
      <left/>
      <right style="medium">
        <color indexed="64"/>
      </right>
      <top style="thick">
        <color indexed="10"/>
      </top>
      <bottom style="thick">
        <color indexed="10"/>
      </bottom>
      <diagonal/>
    </border>
    <border>
      <left style="medium">
        <color indexed="64"/>
      </left>
      <right/>
      <top/>
      <bottom style="thick">
        <color indexed="10"/>
      </bottom>
      <diagonal/>
    </border>
    <border>
      <left style="thin">
        <color indexed="64"/>
      </left>
      <right style="thick">
        <color indexed="10"/>
      </right>
      <top/>
      <bottom style="thin">
        <color indexed="64"/>
      </bottom>
      <diagonal/>
    </border>
    <border>
      <left style="thin">
        <color indexed="64"/>
      </left>
      <right style="thick">
        <color indexed="1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dotted">
        <color indexed="64"/>
      </right>
      <top style="thin">
        <color indexed="64"/>
      </top>
      <bottom/>
      <diagonal/>
    </border>
    <border>
      <left/>
      <right style="dotted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8">
    <xf numFmtId="0" fontId="0" fillId="0" borderId="0"/>
    <xf numFmtId="38" fontId="2" fillId="0" borderId="0" applyFont="0" applyFill="0" applyBorder="0" applyAlignment="0" applyProtection="0"/>
    <xf numFmtId="0" fontId="22" fillId="0" borderId="0" applyNumberFormat="0" applyFill="0" applyBorder="0" applyAlignment="0" applyProtection="0">
      <alignment vertical="top"/>
      <protection locked="0"/>
    </xf>
    <xf numFmtId="164" fontId="2" fillId="0" borderId="0" applyFont="0" applyFill="0" applyBorder="0" applyAlignment="0" applyProtection="0"/>
    <xf numFmtId="0" fontId="2" fillId="0" borderId="0"/>
    <xf numFmtId="0" fontId="5" fillId="0" borderId="0"/>
    <xf numFmtId="0" fontId="5" fillId="0" borderId="0"/>
    <xf numFmtId="165" fontId="2" fillId="0" borderId="0" applyFont="0" applyFill="0" applyBorder="0" applyAlignment="0" applyProtection="0"/>
  </cellStyleXfs>
  <cellXfs count="473">
    <xf numFmtId="0" fontId="0" fillId="0" borderId="0" xfId="0"/>
    <xf numFmtId="0" fontId="3" fillId="0" borderId="0" xfId="0" applyFont="1"/>
    <xf numFmtId="0" fontId="2" fillId="0" borderId="0" xfId="0" applyFont="1"/>
    <xf numFmtId="166" fontId="3" fillId="0" borderId="0" xfId="0" applyNumberFormat="1" applyFont="1"/>
    <xf numFmtId="166" fontId="2" fillId="0" borderId="0" xfId="0" applyNumberFormat="1" applyFont="1"/>
    <xf numFmtId="0" fontId="4" fillId="0" borderId="0" xfId="0" applyFont="1"/>
    <xf numFmtId="166" fontId="4" fillId="0" borderId="0" xfId="0" applyNumberFormat="1" applyFont="1"/>
    <xf numFmtId="0" fontId="6" fillId="0" borderId="0" xfId="0" applyFont="1"/>
    <xf numFmtId="166" fontId="6" fillId="0" borderId="0" xfId="0" applyNumberFormat="1" applyFont="1"/>
    <xf numFmtId="166" fontId="6" fillId="0" borderId="0" xfId="0" applyNumberFormat="1" applyFont="1" applyAlignment="1">
      <alignment horizontal="left"/>
    </xf>
    <xf numFmtId="0" fontId="5" fillId="0" borderId="0" xfId="0" applyFont="1"/>
    <xf numFmtId="0" fontId="4" fillId="0" borderId="0" xfId="0" applyFont="1" applyAlignment="1">
      <alignment horizontal="right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Continuous"/>
    </xf>
    <xf numFmtId="166" fontId="10" fillId="0" borderId="0" xfId="0" applyNumberFormat="1" applyFont="1"/>
    <xf numFmtId="166" fontId="11" fillId="0" borderId="0" xfId="0" applyNumberFormat="1" applyFont="1"/>
    <xf numFmtId="0" fontId="4" fillId="0" borderId="1" xfId="0" applyFont="1" applyBorder="1"/>
    <xf numFmtId="0" fontId="4" fillId="0" borderId="2" xfId="0" applyFont="1" applyBorder="1"/>
    <xf numFmtId="0" fontId="4" fillId="0" borderId="2" xfId="0" applyFont="1" applyBorder="1" applyAlignment="1">
      <alignment horizontal="centerContinuous"/>
    </xf>
    <xf numFmtId="0" fontId="6" fillId="0" borderId="2" xfId="0" applyFont="1" applyBorder="1"/>
    <xf numFmtId="0" fontId="9" fillId="0" borderId="1" xfId="0" applyFont="1" applyBorder="1" applyAlignment="1">
      <alignment horizontal="left"/>
    </xf>
    <xf numFmtId="0" fontId="4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Continuous" vertical="center"/>
    </xf>
    <xf numFmtId="0" fontId="5" fillId="0" borderId="1" xfId="0" applyFont="1" applyBorder="1"/>
    <xf numFmtId="0" fontId="5" fillId="0" borderId="2" xfId="0" applyFont="1" applyBorder="1" applyAlignment="1">
      <alignment horizontal="center"/>
    </xf>
    <xf numFmtId="0" fontId="5" fillId="0" borderId="3" xfId="0" applyFont="1" applyBorder="1"/>
    <xf numFmtId="0" fontId="5" fillId="0" borderId="4" xfId="0" applyFont="1" applyBorder="1"/>
    <xf numFmtId="0" fontId="0" fillId="0" borderId="4" xfId="0" applyBorder="1"/>
    <xf numFmtId="0" fontId="2" fillId="0" borderId="0" xfId="0" applyFont="1" applyAlignment="1">
      <alignment horizontal="right"/>
    </xf>
    <xf numFmtId="0" fontId="14" fillId="0" borderId="0" xfId="0" applyFont="1" applyAlignment="1">
      <alignment horizontal="right"/>
    </xf>
    <xf numFmtId="0" fontId="17" fillId="0" borderId="0" xfId="0" applyFont="1"/>
    <xf numFmtId="0" fontId="13" fillId="0" borderId="0" xfId="0" applyFont="1"/>
    <xf numFmtId="166" fontId="14" fillId="0" borderId="0" xfId="0" applyNumberFormat="1" applyFont="1" applyAlignment="1">
      <alignment horizontal="center" vertical="center"/>
    </xf>
    <xf numFmtId="167" fontId="13" fillId="0" borderId="0" xfId="0" applyNumberFormat="1" applyFont="1" applyAlignment="1">
      <alignment horizontal="center" vertical="center"/>
    </xf>
    <xf numFmtId="0" fontId="2" fillId="0" borderId="0" xfId="0" applyFont="1" applyAlignment="1">
      <alignment vertical="center"/>
    </xf>
    <xf numFmtId="0" fontId="20" fillId="0" borderId="0" xfId="0" applyFont="1" applyAlignment="1">
      <alignment horizontal="right"/>
    </xf>
    <xf numFmtId="0" fontId="7" fillId="0" borderId="1" xfId="0" applyFont="1" applyBorder="1" applyAlignment="1">
      <alignment horizontal="left" vertical="center"/>
    </xf>
    <xf numFmtId="0" fontId="0" fillId="0" borderId="0" xfId="0" applyAlignment="1">
      <alignment vertical="center"/>
    </xf>
    <xf numFmtId="0" fontId="8" fillId="0" borderId="0" xfId="0" applyFont="1" applyAlignment="1">
      <alignment vertical="center"/>
    </xf>
    <xf numFmtId="0" fontId="5" fillId="0" borderId="0" xfId="6"/>
    <xf numFmtId="0" fontId="18" fillId="0" borderId="0" xfId="6" applyFont="1"/>
    <xf numFmtId="0" fontId="5" fillId="0" borderId="1" xfId="6" applyBorder="1"/>
    <xf numFmtId="0" fontId="5" fillId="0" borderId="2" xfId="6" applyBorder="1"/>
    <xf numFmtId="0" fontId="5" fillId="0" borderId="9" xfId="6" applyBorder="1"/>
    <xf numFmtId="0" fontId="5" fillId="0" borderId="5" xfId="6" applyBorder="1"/>
    <xf numFmtId="0" fontId="5" fillId="0" borderId="10" xfId="6" applyBorder="1"/>
    <xf numFmtId="0" fontId="18" fillId="0" borderId="5" xfId="6" applyFont="1" applyBorder="1"/>
    <xf numFmtId="0" fontId="5" fillId="0" borderId="11" xfId="6" applyBorder="1"/>
    <xf numFmtId="0" fontId="5" fillId="0" borderId="0" xfId="6" applyAlignment="1">
      <alignment horizontal="left"/>
    </xf>
    <xf numFmtId="0" fontId="5" fillId="0" borderId="0" xfId="6" quotePrefix="1"/>
    <xf numFmtId="0" fontId="5" fillId="0" borderId="12" xfId="6" applyBorder="1"/>
    <xf numFmtId="0" fontId="5" fillId="0" borderId="13" xfId="6" applyBorder="1"/>
    <xf numFmtId="0" fontId="5" fillId="0" borderId="14" xfId="6" applyBorder="1"/>
    <xf numFmtId="0" fontId="5" fillId="0" borderId="15" xfId="6" applyBorder="1"/>
    <xf numFmtId="0" fontId="5" fillId="0" borderId="4" xfId="6" applyBorder="1"/>
    <xf numFmtId="0" fontId="18" fillId="0" borderId="16" xfId="6" applyFont="1" applyBorder="1" applyAlignment="1">
      <alignment horizontal="center"/>
    </xf>
    <xf numFmtId="0" fontId="18" fillId="0" borderId="17" xfId="6" applyFont="1" applyBorder="1"/>
    <xf numFmtId="0" fontId="13" fillId="0" borderId="0" xfId="6" applyFont="1"/>
    <xf numFmtId="166" fontId="5" fillId="0" borderId="18" xfId="6" applyNumberFormat="1" applyBorder="1" applyAlignment="1">
      <alignment horizontal="center"/>
    </xf>
    <xf numFmtId="166" fontId="5" fillId="0" borderId="0" xfId="6" applyNumberFormat="1" applyAlignment="1">
      <alignment horizontal="center"/>
    </xf>
    <xf numFmtId="0" fontId="5" fillId="0" borderId="3" xfId="6" applyBorder="1"/>
    <xf numFmtId="0" fontId="5" fillId="0" borderId="19" xfId="6" applyBorder="1"/>
    <xf numFmtId="0" fontId="21" fillId="0" borderId="0" xfId="6" applyFont="1"/>
    <xf numFmtId="0" fontId="5" fillId="0" borderId="0" xfId="6" applyAlignment="1">
      <alignment vertical="center"/>
    </xf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9" xfId="0" applyBorder="1"/>
    <xf numFmtId="0" fontId="0" fillId="0" borderId="5" xfId="0" applyBorder="1"/>
    <xf numFmtId="0" fontId="5" fillId="0" borderId="23" xfId="6" applyBorder="1"/>
    <xf numFmtId="0" fontId="17" fillId="2" borderId="24" xfId="0" applyFont="1" applyFill="1" applyBorder="1"/>
    <xf numFmtId="0" fontId="17" fillId="2" borderId="0" xfId="0" applyFont="1" applyFill="1"/>
    <xf numFmtId="0" fontId="23" fillId="0" borderId="0" xfId="0" applyFont="1" applyAlignment="1">
      <alignment horizontal="center"/>
    </xf>
    <xf numFmtId="0" fontId="17" fillId="2" borderId="25" xfId="0" applyFont="1" applyFill="1" applyBorder="1"/>
    <xf numFmtId="0" fontId="17" fillId="2" borderId="5" xfId="0" applyFont="1" applyFill="1" applyBorder="1"/>
    <xf numFmtId="0" fontId="24" fillId="3" borderId="26" xfId="0" applyFont="1" applyFill="1" applyBorder="1" applyAlignment="1">
      <alignment horizontal="center" vertical="center"/>
    </xf>
    <xf numFmtId="0" fontId="17" fillId="4" borderId="26" xfId="0" applyFont="1" applyFill="1" applyBorder="1"/>
    <xf numFmtId="0" fontId="16" fillId="3" borderId="27" xfId="0" applyFont="1" applyFill="1" applyBorder="1" applyAlignment="1" applyProtection="1">
      <alignment horizontal="center" vertical="center"/>
      <protection locked="0"/>
    </xf>
    <xf numFmtId="166" fontId="18" fillId="3" borderId="28" xfId="0" applyNumberFormat="1" applyFont="1" applyFill="1" applyBorder="1" applyAlignment="1">
      <alignment horizontal="center"/>
    </xf>
    <xf numFmtId="49" fontId="17" fillId="3" borderId="29" xfId="0" applyNumberFormat="1" applyFont="1" applyFill="1" applyBorder="1" applyAlignment="1">
      <alignment horizontal="right"/>
    </xf>
    <xf numFmtId="0" fontId="25" fillId="3" borderId="30" xfId="0" applyFont="1" applyFill="1" applyBorder="1" applyAlignment="1">
      <alignment horizontal="center"/>
    </xf>
    <xf numFmtId="0" fontId="26" fillId="0" borderId="0" xfId="0" applyFont="1" applyAlignment="1">
      <alignment horizontal="center"/>
    </xf>
    <xf numFmtId="0" fontId="17" fillId="0" borderId="16" xfId="0" applyFont="1" applyBorder="1"/>
    <xf numFmtId="1" fontId="17" fillId="5" borderId="31" xfId="0" applyNumberFormat="1" applyFont="1" applyFill="1" applyBorder="1" applyAlignment="1">
      <alignment horizontal="center"/>
    </xf>
    <xf numFmtId="0" fontId="17" fillId="5" borderId="16" xfId="0" applyFont="1" applyFill="1" applyBorder="1" applyAlignment="1">
      <alignment horizontal="center"/>
    </xf>
    <xf numFmtId="0" fontId="17" fillId="5" borderId="31" xfId="0" applyFont="1" applyFill="1" applyBorder="1" applyAlignment="1">
      <alignment horizontal="center"/>
    </xf>
    <xf numFmtId="0" fontId="17" fillId="5" borderId="17" xfId="0" applyFont="1" applyFill="1" applyBorder="1" applyAlignment="1">
      <alignment horizontal="center"/>
    </xf>
    <xf numFmtId="0" fontId="16" fillId="3" borderId="32" xfId="0" applyFont="1" applyFill="1" applyBorder="1" applyAlignment="1" applyProtection="1">
      <alignment horizontal="center" vertical="center"/>
      <protection locked="0"/>
    </xf>
    <xf numFmtId="0" fontId="18" fillId="3" borderId="33" xfId="0" applyFont="1" applyFill="1" applyBorder="1" applyAlignment="1" applyProtection="1">
      <alignment horizontal="center"/>
      <protection locked="0"/>
    </xf>
    <xf numFmtId="0" fontId="18" fillId="3" borderId="8" xfId="0" applyFont="1" applyFill="1" applyBorder="1" applyAlignment="1" applyProtection="1">
      <alignment horizontal="center"/>
      <protection locked="0"/>
    </xf>
    <xf numFmtId="0" fontId="27" fillId="3" borderId="26" xfId="0" applyFont="1" applyFill="1" applyBorder="1" applyAlignment="1">
      <alignment horizontal="center"/>
    </xf>
    <xf numFmtId="0" fontId="18" fillId="3" borderId="27" xfId="0" applyFont="1" applyFill="1" applyBorder="1" applyAlignment="1" applyProtection="1">
      <alignment horizontal="center"/>
      <protection locked="0"/>
    </xf>
    <xf numFmtId="0" fontId="17" fillId="0" borderId="34" xfId="0" applyFont="1" applyBorder="1"/>
    <xf numFmtId="1" fontId="17" fillId="0" borderId="35" xfId="0" applyNumberFormat="1" applyFont="1" applyBorder="1"/>
    <xf numFmtId="0" fontId="17" fillId="0" borderId="36" xfId="0" applyFont="1" applyBorder="1" applyAlignment="1">
      <alignment horizontal="center"/>
    </xf>
    <xf numFmtId="0" fontId="26" fillId="3" borderId="37" xfId="0" applyFont="1" applyFill="1" applyBorder="1" applyAlignment="1">
      <alignment horizontal="center"/>
    </xf>
    <xf numFmtId="0" fontId="17" fillId="0" borderId="38" xfId="0" applyFont="1" applyBorder="1"/>
    <xf numFmtId="0" fontId="17" fillId="0" borderId="39" xfId="0" applyFont="1" applyBorder="1" applyAlignment="1">
      <alignment horizontal="center"/>
    </xf>
    <xf numFmtId="0" fontId="17" fillId="0" borderId="40" xfId="0" applyFont="1" applyBorder="1" applyAlignment="1">
      <alignment horizontal="center"/>
    </xf>
    <xf numFmtId="1" fontId="17" fillId="0" borderId="39" xfId="0" applyNumberFormat="1" applyFont="1" applyBorder="1" applyAlignment="1">
      <alignment horizontal="center"/>
    </xf>
    <xf numFmtId="166" fontId="18" fillId="3" borderId="41" xfId="0" applyNumberFormat="1" applyFont="1" applyFill="1" applyBorder="1" applyAlignment="1">
      <alignment horizontal="center"/>
    </xf>
    <xf numFmtId="49" fontId="17" fillId="3" borderId="0" xfId="0" applyNumberFormat="1" applyFont="1" applyFill="1" applyAlignment="1">
      <alignment horizontal="right"/>
    </xf>
    <xf numFmtId="0" fontId="17" fillId="0" borderId="42" xfId="0" applyFont="1" applyBorder="1"/>
    <xf numFmtId="1" fontId="17" fillId="0" borderId="43" xfId="0" applyNumberFormat="1" applyFont="1" applyBorder="1"/>
    <xf numFmtId="0" fontId="25" fillId="6" borderId="44" xfId="0" applyFont="1" applyFill="1" applyBorder="1"/>
    <xf numFmtId="0" fontId="18" fillId="6" borderId="43" xfId="0" applyFont="1" applyFill="1" applyBorder="1"/>
    <xf numFmtId="0" fontId="18" fillId="6" borderId="45" xfId="0" applyFont="1" applyFill="1" applyBorder="1"/>
    <xf numFmtId="1" fontId="17" fillId="0" borderId="0" xfId="0" applyNumberFormat="1" applyFont="1"/>
    <xf numFmtId="0" fontId="18" fillId="0" borderId="0" xfId="0" applyFont="1"/>
    <xf numFmtId="0" fontId="17" fillId="2" borderId="46" xfId="0" applyFont="1" applyFill="1" applyBorder="1"/>
    <xf numFmtId="167" fontId="18" fillId="3" borderId="47" xfId="0" applyNumberFormat="1" applyFont="1" applyFill="1" applyBorder="1" applyAlignment="1">
      <alignment horizontal="center"/>
    </xf>
    <xf numFmtId="0" fontId="17" fillId="2" borderId="30" xfId="0" applyFont="1" applyFill="1" applyBorder="1"/>
    <xf numFmtId="166" fontId="28" fillId="3" borderId="48" xfId="0" applyNumberFormat="1" applyFont="1" applyFill="1" applyBorder="1"/>
    <xf numFmtId="0" fontId="17" fillId="3" borderId="49" xfId="0" applyFont="1" applyFill="1" applyBorder="1"/>
    <xf numFmtId="0" fontId="17" fillId="3" borderId="50" xfId="0" applyFont="1" applyFill="1" applyBorder="1"/>
    <xf numFmtId="0" fontId="18" fillId="3" borderId="46" xfId="0" applyFont="1" applyFill="1" applyBorder="1" applyAlignment="1" applyProtection="1">
      <alignment horizontal="left" vertical="center"/>
      <protection locked="0"/>
    </xf>
    <xf numFmtId="1" fontId="18" fillId="0" borderId="51" xfId="0" applyNumberFormat="1" applyFont="1" applyBorder="1" applyAlignment="1">
      <alignment horizontal="center" vertical="center"/>
    </xf>
    <xf numFmtId="166" fontId="15" fillId="3" borderId="41" xfId="0" applyNumberFormat="1" applyFont="1" applyFill="1" applyBorder="1"/>
    <xf numFmtId="0" fontId="15" fillId="3" borderId="0" xfId="0" applyFont="1" applyFill="1"/>
    <xf numFmtId="0" fontId="15" fillId="3" borderId="37" xfId="0" applyFont="1" applyFill="1" applyBorder="1" applyAlignment="1">
      <alignment horizontal="right"/>
    </xf>
    <xf numFmtId="0" fontId="29" fillId="3" borderId="10" xfId="0" applyFont="1" applyFill="1" applyBorder="1" applyAlignment="1">
      <alignment vertical="center"/>
    </xf>
    <xf numFmtId="0" fontId="16" fillId="3" borderId="10" xfId="0" applyFont="1" applyFill="1" applyBorder="1" applyAlignment="1">
      <alignment horizontal="center"/>
    </xf>
    <xf numFmtId="0" fontId="18" fillId="7" borderId="52" xfId="5" applyFont="1" applyFill="1" applyBorder="1"/>
    <xf numFmtId="0" fontId="24" fillId="7" borderId="6" xfId="5" applyFont="1" applyFill="1" applyBorder="1" applyAlignment="1">
      <alignment horizontal="center" vertical="center"/>
    </xf>
    <xf numFmtId="0" fontId="24" fillId="7" borderId="6" xfId="5" applyFont="1" applyFill="1" applyBorder="1" applyAlignment="1">
      <alignment horizontal="center" vertical="center" wrapText="1"/>
    </xf>
    <xf numFmtId="0" fontId="15" fillId="7" borderId="6" xfId="5" applyFont="1" applyFill="1" applyBorder="1" applyAlignment="1">
      <alignment horizontal="center" vertical="center" wrapText="1"/>
    </xf>
    <xf numFmtId="0" fontId="15" fillId="7" borderId="6" xfId="5" applyFont="1" applyFill="1" applyBorder="1" applyAlignment="1">
      <alignment horizontal="centerContinuous" vertical="center" wrapText="1"/>
    </xf>
    <xf numFmtId="0" fontId="15" fillId="3" borderId="41" xfId="0" applyFont="1" applyFill="1" applyBorder="1"/>
    <xf numFmtId="0" fontId="19" fillId="3" borderId="22" xfId="0" applyFont="1" applyFill="1" applyBorder="1"/>
    <xf numFmtId="1" fontId="16" fillId="8" borderId="18" xfId="0" applyNumberFormat="1" applyFont="1" applyFill="1" applyBorder="1" applyAlignment="1">
      <alignment horizontal="center"/>
    </xf>
    <xf numFmtId="0" fontId="9" fillId="7" borderId="53" xfId="5" applyFont="1" applyFill="1" applyBorder="1" applyAlignment="1">
      <alignment horizontal="left"/>
    </xf>
    <xf numFmtId="166" fontId="10" fillId="8" borderId="18" xfId="5" applyNumberFormat="1" applyFont="1" applyFill="1" applyBorder="1" applyAlignment="1">
      <alignment horizontal="center"/>
    </xf>
    <xf numFmtId="166" fontId="5" fillId="7" borderId="18" xfId="5" applyNumberFormat="1" applyFill="1" applyBorder="1" applyAlignment="1">
      <alignment horizontal="center"/>
    </xf>
    <xf numFmtId="0" fontId="5" fillId="7" borderId="18" xfId="5" applyFill="1" applyBorder="1" applyAlignment="1">
      <alignment horizontal="centerContinuous"/>
    </xf>
    <xf numFmtId="0" fontId="16" fillId="8" borderId="18" xfId="0" applyFont="1" applyFill="1" applyBorder="1" applyAlignment="1">
      <alignment horizontal="center"/>
    </xf>
    <xf numFmtId="0" fontId="17" fillId="3" borderId="0" xfId="0" applyFont="1" applyFill="1"/>
    <xf numFmtId="0" fontId="17" fillId="3" borderId="37" xfId="0" applyFont="1" applyFill="1" applyBorder="1"/>
    <xf numFmtId="0" fontId="19" fillId="3" borderId="28" xfId="0" applyFont="1" applyFill="1" applyBorder="1"/>
    <xf numFmtId="0" fontId="31" fillId="3" borderId="0" xfId="0" applyFont="1" applyFill="1"/>
    <xf numFmtId="0" fontId="32" fillId="3" borderId="0" xfId="0" applyFont="1" applyFill="1"/>
    <xf numFmtId="0" fontId="17" fillId="3" borderId="46" xfId="0" applyFont="1" applyFill="1" applyBorder="1"/>
    <xf numFmtId="0" fontId="17" fillId="3" borderId="30" xfId="0" applyFont="1" applyFill="1" applyBorder="1"/>
    <xf numFmtId="0" fontId="17" fillId="2" borderId="54" xfId="0" applyFont="1" applyFill="1" applyBorder="1"/>
    <xf numFmtId="0" fontId="9" fillId="7" borderId="55" xfId="5" applyFont="1" applyFill="1" applyBorder="1" applyAlignment="1">
      <alignment horizontal="left"/>
    </xf>
    <xf numFmtId="166" fontId="10" fillId="8" borderId="29" xfId="5" applyNumberFormat="1" applyFont="1" applyFill="1" applyBorder="1" applyAlignment="1">
      <alignment horizontal="center"/>
    </xf>
    <xf numFmtId="166" fontId="5" fillId="7" borderId="29" xfId="5" applyNumberFormat="1" applyFill="1" applyBorder="1" applyAlignment="1">
      <alignment horizontal="center"/>
    </xf>
    <xf numFmtId="0" fontId="5" fillId="7" borderId="29" xfId="5" applyFill="1" applyBorder="1" applyAlignment="1">
      <alignment horizontal="centerContinuous"/>
    </xf>
    <xf numFmtId="167" fontId="18" fillId="2" borderId="47" xfId="0" applyNumberFormat="1" applyFont="1" applyFill="1" applyBorder="1" applyAlignment="1">
      <alignment horizontal="center"/>
    </xf>
    <xf numFmtId="169" fontId="16" fillId="3" borderId="27" xfId="0" applyNumberFormat="1" applyFont="1" applyFill="1" applyBorder="1" applyAlignment="1" applyProtection="1">
      <alignment horizontal="center" vertical="center"/>
      <protection locked="0"/>
    </xf>
    <xf numFmtId="169" fontId="16" fillId="3" borderId="32" xfId="0" applyNumberFormat="1" applyFont="1" applyFill="1" applyBorder="1" applyAlignment="1" applyProtection="1">
      <alignment horizontal="center" vertical="center"/>
      <protection locked="0"/>
    </xf>
    <xf numFmtId="169" fontId="17" fillId="2" borderId="46" xfId="0" applyNumberFormat="1" applyFont="1" applyFill="1" applyBorder="1"/>
    <xf numFmtId="169" fontId="18" fillId="3" borderId="46" xfId="0" applyNumberFormat="1" applyFont="1" applyFill="1" applyBorder="1" applyAlignment="1" applyProtection="1">
      <alignment horizontal="left" vertical="center"/>
      <protection locked="0"/>
    </xf>
    <xf numFmtId="169" fontId="29" fillId="3" borderId="10" xfId="0" applyNumberFormat="1" applyFont="1" applyFill="1" applyBorder="1" applyAlignment="1">
      <alignment vertical="center"/>
    </xf>
    <xf numFmtId="169" fontId="19" fillId="3" borderId="22" xfId="0" applyNumberFormat="1" applyFont="1" applyFill="1" applyBorder="1"/>
    <xf numFmtId="169" fontId="19" fillId="3" borderId="27" xfId="0" applyNumberFormat="1" applyFont="1" applyFill="1" applyBorder="1"/>
    <xf numFmtId="169" fontId="17" fillId="3" borderId="49" xfId="0" applyNumberFormat="1" applyFont="1" applyFill="1" applyBorder="1"/>
    <xf numFmtId="169" fontId="31" fillId="3" borderId="0" xfId="0" applyNumberFormat="1" applyFont="1" applyFill="1"/>
    <xf numFmtId="169" fontId="32" fillId="3" borderId="0" xfId="0" applyNumberFormat="1" applyFont="1" applyFill="1"/>
    <xf numFmtId="169" fontId="17" fillId="3" borderId="46" xfId="0" applyNumberFormat="1" applyFont="1" applyFill="1" applyBorder="1"/>
    <xf numFmtId="169" fontId="17" fillId="0" borderId="0" xfId="0" applyNumberFormat="1" applyFont="1"/>
    <xf numFmtId="0" fontId="18" fillId="3" borderId="56" xfId="0" applyFont="1" applyFill="1" applyBorder="1" applyAlignment="1">
      <alignment horizontal="center"/>
    </xf>
    <xf numFmtId="166" fontId="13" fillId="8" borderId="43" xfId="0" applyNumberFormat="1" applyFont="1" applyFill="1" applyBorder="1" applyAlignment="1">
      <alignment horizontal="left" vertical="center"/>
    </xf>
    <xf numFmtId="169" fontId="13" fillId="8" borderId="44" xfId="0" applyNumberFormat="1" applyFont="1" applyFill="1" applyBorder="1" applyAlignment="1">
      <alignment horizontal="left" vertical="center"/>
    </xf>
    <xf numFmtId="1" fontId="13" fillId="4" borderId="43" xfId="0" applyNumberFormat="1" applyFont="1" applyFill="1" applyBorder="1" applyAlignment="1" applyProtection="1">
      <alignment horizontal="center" vertical="center"/>
      <protection locked="0"/>
    </xf>
    <xf numFmtId="0" fontId="13" fillId="0" borderId="57" xfId="0" applyFont="1" applyBorder="1" applyAlignment="1" applyProtection="1">
      <alignment horizontal="center"/>
      <protection locked="0"/>
    </xf>
    <xf numFmtId="0" fontId="13" fillId="0" borderId="58" xfId="0" applyFont="1" applyBorder="1" applyAlignment="1" applyProtection="1">
      <alignment horizontal="center"/>
      <protection locked="0"/>
    </xf>
    <xf numFmtId="0" fontId="13" fillId="3" borderId="58" xfId="0" applyFont="1" applyFill="1" applyBorder="1" applyAlignment="1">
      <alignment horizontal="center"/>
    </xf>
    <xf numFmtId="0" fontId="13" fillId="9" borderId="58" xfId="0" applyFont="1" applyFill="1" applyBorder="1" applyAlignment="1" applyProtection="1">
      <alignment horizontal="center"/>
      <protection locked="0"/>
    </xf>
    <xf numFmtId="1" fontId="13" fillId="0" borderId="58" xfId="0" applyNumberFormat="1" applyFont="1" applyBorder="1" applyAlignment="1">
      <alignment horizontal="center"/>
    </xf>
    <xf numFmtId="0" fontId="13" fillId="0" borderId="59" xfId="0" applyFont="1" applyBorder="1" applyAlignment="1" applyProtection="1">
      <alignment horizontal="center"/>
      <protection locked="0"/>
    </xf>
    <xf numFmtId="0" fontId="32" fillId="3" borderId="37" xfId="0" applyFont="1" applyFill="1" applyBorder="1" applyAlignment="1">
      <alignment horizontal="center"/>
    </xf>
    <xf numFmtId="0" fontId="32" fillId="0" borderId="0" xfId="0" applyFont="1" applyAlignment="1">
      <alignment horizontal="center"/>
    </xf>
    <xf numFmtId="0" fontId="13" fillId="0" borderId="34" xfId="0" applyFont="1" applyBorder="1"/>
    <xf numFmtId="1" fontId="13" fillId="0" borderId="35" xfId="0" applyNumberFormat="1" applyFont="1" applyBorder="1"/>
    <xf numFmtId="0" fontId="32" fillId="0" borderId="34" xfId="0" applyFont="1" applyBorder="1" applyAlignment="1">
      <alignment horizontal="center"/>
    </xf>
    <xf numFmtId="0" fontId="13" fillId="0" borderId="35" xfId="0" applyFont="1" applyBorder="1" applyAlignment="1">
      <alignment horizontal="center"/>
    </xf>
    <xf numFmtId="0" fontId="13" fillId="0" borderId="36" xfId="0" applyFont="1" applyBorder="1" applyAlignment="1">
      <alignment horizontal="center"/>
    </xf>
    <xf numFmtId="0" fontId="13" fillId="0" borderId="7" xfId="0" applyFont="1" applyBorder="1"/>
    <xf numFmtId="0" fontId="13" fillId="0" borderId="38" xfId="0" applyFont="1" applyBorder="1"/>
    <xf numFmtId="0" fontId="13" fillId="0" borderId="9" xfId="0" applyFont="1" applyBorder="1"/>
    <xf numFmtId="1" fontId="13" fillId="5" borderId="31" xfId="0" applyNumberFormat="1" applyFont="1" applyFill="1" applyBorder="1" applyAlignment="1">
      <alignment horizontal="center"/>
    </xf>
    <xf numFmtId="0" fontId="13" fillId="5" borderId="16" xfId="0" applyFont="1" applyFill="1" applyBorder="1" applyAlignment="1">
      <alignment horizontal="center"/>
    </xf>
    <xf numFmtId="0" fontId="13" fillId="5" borderId="31" xfId="0" applyFont="1" applyFill="1" applyBorder="1" applyAlignment="1">
      <alignment horizontal="center"/>
    </xf>
    <xf numFmtId="0" fontId="13" fillId="5" borderId="17" xfId="0" applyFont="1" applyFill="1" applyBorder="1" applyAlignment="1">
      <alignment horizontal="center"/>
    </xf>
    <xf numFmtId="0" fontId="13" fillId="0" borderId="16" xfId="0" applyFont="1" applyBorder="1"/>
    <xf numFmtId="1" fontId="13" fillId="0" borderId="35" xfId="0" applyNumberFormat="1" applyFont="1" applyBorder="1" applyAlignment="1">
      <alignment horizontal="center"/>
    </xf>
    <xf numFmtId="0" fontId="32" fillId="0" borderId="35" xfId="0" applyFont="1" applyBorder="1" applyAlignment="1">
      <alignment horizontal="center"/>
    </xf>
    <xf numFmtId="0" fontId="13" fillId="0" borderId="39" xfId="0" applyFont="1" applyBorder="1" applyAlignment="1">
      <alignment horizontal="center"/>
    </xf>
    <xf numFmtId="0" fontId="13" fillId="0" borderId="40" xfId="0" applyFont="1" applyBorder="1" applyAlignment="1">
      <alignment horizontal="center"/>
    </xf>
    <xf numFmtId="1" fontId="13" fillId="5" borderId="31" xfId="0" applyNumberFormat="1" applyFont="1" applyFill="1" applyBorder="1"/>
    <xf numFmtId="1" fontId="13" fillId="0" borderId="60" xfId="0" applyNumberFormat="1" applyFont="1" applyBorder="1" applyAlignment="1">
      <alignment horizontal="center"/>
    </xf>
    <xf numFmtId="1" fontId="13" fillId="0" borderId="39" xfId="0" applyNumberFormat="1" applyFont="1" applyBorder="1" applyAlignment="1">
      <alignment horizontal="center"/>
    </xf>
    <xf numFmtId="166" fontId="14" fillId="3" borderId="41" xfId="0" applyNumberFormat="1" applyFont="1" applyFill="1" applyBorder="1" applyAlignment="1">
      <alignment horizontal="center"/>
    </xf>
    <xf numFmtId="49" fontId="13" fillId="3" borderId="0" xfId="0" applyNumberFormat="1" applyFont="1" applyFill="1" applyAlignment="1">
      <alignment horizontal="right"/>
    </xf>
    <xf numFmtId="166" fontId="24" fillId="3" borderId="27" xfId="0" applyNumberFormat="1" applyFont="1" applyFill="1" applyBorder="1" applyAlignment="1">
      <alignment horizontal="center"/>
    </xf>
    <xf numFmtId="49" fontId="15" fillId="3" borderId="26" xfId="0" applyNumberFormat="1" applyFont="1" applyFill="1" applyBorder="1" applyAlignment="1">
      <alignment horizontal="right"/>
    </xf>
    <xf numFmtId="0" fontId="33" fillId="3" borderId="37" xfId="0" applyFont="1" applyFill="1" applyBorder="1" applyAlignment="1">
      <alignment horizontal="center"/>
    </xf>
    <xf numFmtId="166" fontId="24" fillId="3" borderId="22" xfId="0" applyNumberFormat="1" applyFont="1" applyFill="1" applyBorder="1" applyAlignment="1">
      <alignment horizontal="center"/>
    </xf>
    <xf numFmtId="49" fontId="15" fillId="3" borderId="18" xfId="0" applyNumberFormat="1" applyFont="1" applyFill="1" applyBorder="1" applyAlignment="1">
      <alignment horizontal="right"/>
    </xf>
    <xf numFmtId="166" fontId="24" fillId="3" borderId="28" xfId="0" applyNumberFormat="1" applyFont="1" applyFill="1" applyBorder="1" applyAlignment="1">
      <alignment horizontal="center"/>
    </xf>
    <xf numFmtId="49" fontId="15" fillId="3" borderId="29" xfId="0" applyNumberFormat="1" applyFont="1" applyFill="1" applyBorder="1" applyAlignment="1">
      <alignment horizontal="right"/>
    </xf>
    <xf numFmtId="0" fontId="33" fillId="3" borderId="30" xfId="0" applyFont="1" applyFill="1" applyBorder="1" applyAlignment="1">
      <alignment horizontal="center"/>
    </xf>
    <xf numFmtId="0" fontId="17" fillId="0" borderId="49" xfId="0" applyFont="1" applyBorder="1"/>
    <xf numFmtId="166" fontId="28" fillId="8" borderId="49" xfId="0" applyNumberFormat="1" applyFont="1" applyFill="1" applyBorder="1"/>
    <xf numFmtId="0" fontId="17" fillId="8" borderId="49" xfId="0" applyFont="1" applyFill="1" applyBorder="1"/>
    <xf numFmtId="0" fontId="17" fillId="8" borderId="0" xfId="0" applyFont="1" applyFill="1"/>
    <xf numFmtId="0" fontId="22" fillId="0" borderId="0" xfId="2" applyBorder="1" applyAlignment="1" applyProtection="1"/>
    <xf numFmtId="0" fontId="5" fillId="0" borderId="33" xfId="6" applyBorder="1"/>
    <xf numFmtId="0" fontId="5" fillId="0" borderId="8" xfId="6" applyBorder="1"/>
    <xf numFmtId="0" fontId="5" fillId="0" borderId="27" xfId="6" applyBorder="1"/>
    <xf numFmtId="0" fontId="5" fillId="0" borderId="25" xfId="6" applyBorder="1"/>
    <xf numFmtId="49" fontId="5" fillId="0" borderId="27" xfId="0" quotePrefix="1" applyNumberFormat="1" applyFont="1" applyBorder="1" applyAlignment="1">
      <alignment horizontal="center"/>
    </xf>
    <xf numFmtId="49" fontId="5" fillId="0" borderId="26" xfId="0" quotePrefix="1" applyNumberFormat="1" applyFont="1" applyBorder="1" applyAlignment="1">
      <alignment horizontal="center"/>
    </xf>
    <xf numFmtId="49" fontId="5" fillId="0" borderId="25" xfId="0" applyNumberFormat="1" applyFont="1" applyBorder="1" applyAlignment="1">
      <alignment horizontal="center"/>
    </xf>
    <xf numFmtId="49" fontId="5" fillId="0" borderId="61" xfId="0" applyNumberFormat="1" applyFont="1" applyBorder="1" applyAlignment="1">
      <alignment horizontal="center"/>
    </xf>
    <xf numFmtId="49" fontId="5" fillId="0" borderId="23" xfId="0" applyNumberFormat="1" applyFont="1" applyBorder="1" applyAlignment="1">
      <alignment horizontal="center"/>
    </xf>
    <xf numFmtId="167" fontId="5" fillId="0" borderId="0" xfId="0" applyNumberFormat="1" applyFont="1" applyAlignment="1">
      <alignment horizontal="center"/>
    </xf>
    <xf numFmtId="167" fontId="5" fillId="0" borderId="0" xfId="0" applyNumberFormat="1" applyFont="1" applyAlignment="1">
      <alignment horizontal="right"/>
    </xf>
    <xf numFmtId="166" fontId="5" fillId="0" borderId="33" xfId="0" applyNumberFormat="1" applyFont="1" applyBorder="1" applyAlignment="1">
      <alignment horizontal="center"/>
    </xf>
    <xf numFmtId="166" fontId="5" fillId="0" borderId="27" xfId="0" applyNumberFormat="1" applyFont="1" applyBorder="1" applyAlignment="1">
      <alignment horizontal="center"/>
    </xf>
    <xf numFmtId="0" fontId="34" fillId="0" borderId="7" xfId="0" applyFont="1" applyBorder="1" applyAlignment="1">
      <alignment horizontal="left"/>
    </xf>
    <xf numFmtId="0" fontId="34" fillId="0" borderId="27" xfId="0" applyFont="1" applyBorder="1" applyAlignment="1">
      <alignment horizontal="centerContinuous" vertical="center"/>
    </xf>
    <xf numFmtId="0" fontId="34" fillId="0" borderId="8" xfId="0" applyFont="1" applyBorder="1" applyAlignment="1">
      <alignment horizontal="centerContinuous" vertical="center"/>
    </xf>
    <xf numFmtId="0" fontId="0" fillId="0" borderId="4" xfId="0" applyBorder="1" applyAlignment="1">
      <alignment vertical="center"/>
    </xf>
    <xf numFmtId="0" fontId="5" fillId="0" borderId="19" xfId="0" applyFont="1" applyBorder="1" applyAlignment="1">
      <alignment horizontal="center" vertical="center"/>
    </xf>
    <xf numFmtId="167" fontId="5" fillId="0" borderId="2" xfId="0" applyNumberFormat="1" applyFont="1" applyBorder="1" applyAlignment="1">
      <alignment horizontal="center"/>
    </xf>
    <xf numFmtId="166" fontId="1" fillId="0" borderId="43" xfId="0" applyNumberFormat="1" applyFont="1" applyBorder="1" applyAlignment="1">
      <alignment horizontal="center"/>
    </xf>
    <xf numFmtId="166" fontId="5" fillId="0" borderId="0" xfId="0" applyNumberFormat="1" applyFont="1" applyAlignment="1">
      <alignment horizontal="center"/>
    </xf>
    <xf numFmtId="0" fontId="35" fillId="0" borderId="0" xfId="0" applyFont="1"/>
    <xf numFmtId="0" fontId="2" fillId="0" borderId="0" xfId="0" applyFont="1" applyAlignment="1">
      <alignment wrapText="1"/>
    </xf>
    <xf numFmtId="49" fontId="5" fillId="0" borderId="64" xfId="0" quotePrefix="1" applyNumberFormat="1" applyFont="1" applyBorder="1" applyAlignment="1">
      <alignment horizontal="center"/>
    </xf>
    <xf numFmtId="49" fontId="5" fillId="0" borderId="10" xfId="0" applyNumberFormat="1" applyFont="1" applyBorder="1" applyAlignment="1">
      <alignment horizontal="center"/>
    </xf>
    <xf numFmtId="0" fontId="0" fillId="0" borderId="63" xfId="0" applyBorder="1" applyAlignment="1">
      <alignment horizontal="center" vertical="center"/>
    </xf>
    <xf numFmtId="0" fontId="34" fillId="0" borderId="1" xfId="0" applyFont="1" applyBorder="1" applyAlignment="1">
      <alignment horizontal="left"/>
    </xf>
    <xf numFmtId="0" fontId="34" fillId="0" borderId="0" xfId="0" applyFont="1" applyAlignment="1">
      <alignment horizontal="left"/>
    </xf>
    <xf numFmtId="0" fontId="39" fillId="0" borderId="7" xfId="0" applyFont="1" applyBorder="1" applyAlignment="1">
      <alignment horizontal="left" vertical="center"/>
    </xf>
    <xf numFmtId="0" fontId="39" fillId="0" borderId="8" xfId="0" applyFont="1" applyBorder="1" applyAlignment="1">
      <alignment horizontal="centerContinuous" vertical="center"/>
    </xf>
    <xf numFmtId="0" fontId="39" fillId="0" borderId="27" xfId="0" applyFont="1" applyBorder="1" applyAlignment="1">
      <alignment horizontal="centerContinuous" vertical="center"/>
    </xf>
    <xf numFmtId="0" fontId="39" fillId="0" borderId="1" xfId="0" applyFont="1" applyBorder="1" applyAlignment="1">
      <alignment horizontal="left" vertical="center"/>
    </xf>
    <xf numFmtId="0" fontId="39" fillId="0" borderId="0" xfId="0" applyFont="1" applyAlignment="1">
      <alignment horizontal="centerContinuous" vertical="center"/>
    </xf>
    <xf numFmtId="0" fontId="39" fillId="0" borderId="32" xfId="0" applyFont="1" applyBorder="1" applyAlignment="1">
      <alignment horizontal="centerContinuous" vertical="center"/>
    </xf>
    <xf numFmtId="0" fontId="39" fillId="0" borderId="9" xfId="0" applyFont="1" applyBorder="1" applyAlignment="1">
      <alignment horizontal="left" vertical="center"/>
    </xf>
    <xf numFmtId="0" fontId="39" fillId="0" borderId="5" xfId="0" applyFont="1" applyBorder="1" applyAlignment="1">
      <alignment horizontal="centerContinuous" vertical="center"/>
    </xf>
    <xf numFmtId="0" fontId="39" fillId="0" borderId="10" xfId="0" applyFont="1" applyBorder="1" applyAlignment="1">
      <alignment horizontal="centerContinuous" vertical="center"/>
    </xf>
    <xf numFmtId="0" fontId="34" fillId="0" borderId="7" xfId="0" applyFont="1" applyBorder="1"/>
    <xf numFmtId="0" fontId="34" fillId="0" borderId="8" xfId="0" applyFont="1" applyBorder="1"/>
    <xf numFmtId="0" fontId="34" fillId="0" borderId="27" xfId="0" applyFont="1" applyBorder="1"/>
    <xf numFmtId="0" fontId="34" fillId="0" borderId="1" xfId="0" applyFont="1" applyBorder="1"/>
    <xf numFmtId="0" fontId="34" fillId="0" borderId="0" xfId="0" applyFont="1"/>
    <xf numFmtId="0" fontId="34" fillId="0" borderId="32" xfId="0" applyFont="1" applyBorder="1"/>
    <xf numFmtId="0" fontId="34" fillId="0" borderId="9" xfId="0" applyFont="1" applyBorder="1"/>
    <xf numFmtId="0" fontId="34" fillId="0" borderId="5" xfId="0" applyFont="1" applyBorder="1"/>
    <xf numFmtId="0" fontId="34" fillId="0" borderId="10" xfId="0" applyFont="1" applyBorder="1"/>
    <xf numFmtId="167" fontId="5" fillId="0" borderId="4" xfId="0" applyNumberFormat="1" applyFont="1" applyBorder="1" applyAlignment="1">
      <alignment horizontal="center"/>
    </xf>
    <xf numFmtId="0" fontId="5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12" fillId="0" borderId="0" xfId="0" applyFont="1"/>
    <xf numFmtId="0" fontId="11" fillId="0" borderId="0" xfId="0" applyFont="1"/>
    <xf numFmtId="14" fontId="34" fillId="0" borderId="1" xfId="0" applyNumberFormat="1" applyFont="1" applyBorder="1"/>
    <xf numFmtId="0" fontId="1" fillId="0" borderId="43" xfId="0" applyFont="1" applyBorder="1" applyAlignment="1">
      <alignment horizontal="center"/>
    </xf>
    <xf numFmtId="0" fontId="17" fillId="0" borderId="8" xfId="0" applyFont="1" applyBorder="1" applyAlignment="1">
      <alignment vertical="center"/>
    </xf>
    <xf numFmtId="0" fontId="17" fillId="0" borderId="27" xfId="0" applyFont="1" applyBorder="1" applyAlignment="1">
      <alignment vertical="center"/>
    </xf>
    <xf numFmtId="0" fontId="17" fillId="0" borderId="0" xfId="0" applyFont="1" applyAlignment="1">
      <alignment vertical="center"/>
    </xf>
    <xf numFmtId="0" fontId="17" fillId="0" borderId="32" xfId="0" applyFont="1" applyBorder="1" applyAlignment="1">
      <alignment vertical="center"/>
    </xf>
    <xf numFmtId="0" fontId="17" fillId="0" borderId="5" xfId="0" applyFont="1" applyBorder="1" applyAlignment="1">
      <alignment vertical="center"/>
    </xf>
    <xf numFmtId="0" fontId="17" fillId="0" borderId="10" xfId="0" applyFont="1" applyBorder="1" applyAlignment="1">
      <alignment vertical="center"/>
    </xf>
    <xf numFmtId="49" fontId="5" fillId="0" borderId="33" xfId="0" quotePrefix="1" applyNumberFormat="1" applyFont="1" applyBorder="1" applyAlignment="1">
      <alignment vertical="center"/>
    </xf>
    <xf numFmtId="0" fontId="0" fillId="0" borderId="63" xfId="0" applyBorder="1" applyAlignment="1">
      <alignment vertical="center"/>
    </xf>
    <xf numFmtId="49" fontId="5" fillId="0" borderId="24" xfId="0" quotePrefix="1" applyNumberFormat="1" applyFont="1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24" xfId="0" applyBorder="1" applyAlignment="1">
      <alignment vertical="center"/>
    </xf>
    <xf numFmtId="0" fontId="0" fillId="0" borderId="25" xfId="0" applyBorder="1" applyAlignment="1">
      <alignment vertical="center"/>
    </xf>
    <xf numFmtId="0" fontId="0" fillId="0" borderId="23" xfId="0" applyBorder="1" applyAlignment="1">
      <alignment vertical="center"/>
    </xf>
    <xf numFmtId="14" fontId="17" fillId="0" borderId="0" xfId="0" applyNumberFormat="1" applyFont="1" applyAlignment="1">
      <alignment vertical="center"/>
    </xf>
    <xf numFmtId="0" fontId="34" fillId="0" borderId="7" xfId="0" applyFont="1" applyBorder="1" applyAlignment="1">
      <alignment vertical="center"/>
    </xf>
    <xf numFmtId="0" fontId="34" fillId="0" borderId="8" xfId="0" applyFont="1" applyBorder="1" applyAlignment="1">
      <alignment vertical="center"/>
    </xf>
    <xf numFmtId="0" fontId="34" fillId="0" borderId="27" xfId="0" applyFont="1" applyBorder="1" applyAlignment="1">
      <alignment vertical="center"/>
    </xf>
    <xf numFmtId="0" fontId="34" fillId="0" borderId="1" xfId="0" applyFont="1" applyBorder="1" applyAlignment="1">
      <alignment vertical="center"/>
    </xf>
    <xf numFmtId="0" fontId="34" fillId="0" borderId="0" xfId="0" applyFont="1" applyAlignment="1">
      <alignment vertical="center"/>
    </xf>
    <xf numFmtId="0" fontId="34" fillId="0" borderId="32" xfId="0" applyFont="1" applyBorder="1" applyAlignment="1">
      <alignment vertical="center"/>
    </xf>
    <xf numFmtId="0" fontId="34" fillId="0" borderId="9" xfId="0" applyFont="1" applyBorder="1" applyAlignment="1">
      <alignment vertical="center"/>
    </xf>
    <xf numFmtId="0" fontId="34" fillId="0" borderId="5" xfId="0" applyFont="1" applyBorder="1" applyAlignment="1">
      <alignment vertical="center"/>
    </xf>
    <xf numFmtId="0" fontId="34" fillId="0" borderId="10" xfId="0" applyFont="1" applyBorder="1" applyAlignment="1">
      <alignment vertical="center"/>
    </xf>
    <xf numFmtId="14" fontId="34" fillId="0" borderId="1" xfId="0" applyNumberFormat="1" applyFont="1" applyBorder="1" applyAlignment="1">
      <alignment vertical="center"/>
    </xf>
    <xf numFmtId="2" fontId="1" fillId="0" borderId="43" xfId="0" applyNumberFormat="1" applyFont="1" applyBorder="1" applyAlignment="1">
      <alignment horizontal="center"/>
    </xf>
    <xf numFmtId="170" fontId="0" fillId="0" borderId="0" xfId="0" applyNumberFormat="1"/>
    <xf numFmtId="1" fontId="18" fillId="0" borderId="83" xfId="0" applyNumberFormat="1" applyFont="1" applyBorder="1" applyAlignment="1">
      <alignment horizontal="center"/>
    </xf>
    <xf numFmtId="14" fontId="2" fillId="0" borderId="0" xfId="0" applyNumberFormat="1" applyFont="1"/>
    <xf numFmtId="49" fontId="5" fillId="0" borderId="33" xfId="0" quotePrefix="1" applyNumberFormat="1" applyFont="1" applyBorder="1" applyAlignment="1">
      <alignment horizontal="center" vertical="center"/>
    </xf>
    <xf numFmtId="0" fontId="0" fillId="0" borderId="63" xfId="0" applyBorder="1" applyAlignment="1">
      <alignment horizontal="center" vertical="center"/>
    </xf>
    <xf numFmtId="49" fontId="5" fillId="0" borderId="24" xfId="0" quotePrefix="1" applyNumberFormat="1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49" fontId="4" fillId="0" borderId="26" xfId="0" applyNumberFormat="1" applyFont="1" applyBorder="1" applyAlignment="1">
      <alignment horizontal="center" vertical="center"/>
    </xf>
    <xf numFmtId="49" fontId="4" fillId="0" borderId="62" xfId="0" applyNumberFormat="1" applyFont="1" applyBorder="1" applyAlignment="1">
      <alignment horizontal="center" vertical="center"/>
    </xf>
    <xf numFmtId="0" fontId="1" fillId="0" borderId="6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49" fontId="4" fillId="0" borderId="33" xfId="0" applyNumberFormat="1" applyFont="1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49" fontId="4" fillId="0" borderId="24" xfId="0" applyNumberFormat="1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4" fillId="0" borderId="27" xfId="0" applyFont="1" applyBorder="1" applyAlignment="1">
      <alignment horizontal="center" vertical="center"/>
    </xf>
    <xf numFmtId="0" fontId="4" fillId="0" borderId="24" xfId="0" applyFont="1" applyBorder="1" applyAlignment="1">
      <alignment horizontal="center" vertical="center"/>
    </xf>
    <xf numFmtId="0" fontId="4" fillId="0" borderId="32" xfId="0" applyFont="1" applyBorder="1" applyAlignment="1">
      <alignment horizontal="center" vertical="center"/>
    </xf>
    <xf numFmtId="0" fontId="1" fillId="0" borderId="79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80" xfId="0" applyFont="1" applyBorder="1" applyAlignment="1">
      <alignment horizontal="center" vertical="center"/>
    </xf>
    <xf numFmtId="0" fontId="4" fillId="0" borderId="26" xfId="0" applyFont="1" applyBorder="1" applyAlignment="1">
      <alignment horizontal="center" vertical="center"/>
    </xf>
    <xf numFmtId="166" fontId="4" fillId="0" borderId="26" xfId="0" applyNumberFormat="1" applyFont="1" applyBorder="1" applyAlignment="1">
      <alignment horizontal="center" vertical="center"/>
    </xf>
    <xf numFmtId="166" fontId="4" fillId="0" borderId="62" xfId="0" applyNumberFormat="1" applyFont="1" applyBorder="1" applyAlignment="1">
      <alignment horizontal="center" vertical="center"/>
    </xf>
    <xf numFmtId="166" fontId="1" fillId="0" borderId="62" xfId="0" applyNumberFormat="1" applyFont="1" applyBorder="1" applyAlignment="1">
      <alignment horizontal="center" vertical="center"/>
    </xf>
    <xf numFmtId="166" fontId="1" fillId="0" borderId="6" xfId="0" applyNumberFormat="1" applyFont="1" applyBorder="1" applyAlignment="1">
      <alignment horizontal="center" vertical="center"/>
    </xf>
    <xf numFmtId="49" fontId="39" fillId="0" borderId="33" xfId="0" quotePrefix="1" applyNumberFormat="1" applyFont="1" applyBorder="1" applyAlignment="1">
      <alignment horizontal="center" vertical="center" wrapText="1"/>
    </xf>
    <xf numFmtId="0" fontId="35" fillId="0" borderId="63" xfId="0" applyFont="1" applyBorder="1" applyAlignment="1">
      <alignment horizontal="center" vertical="center"/>
    </xf>
    <xf numFmtId="49" fontId="39" fillId="0" borderId="24" xfId="0" quotePrefix="1" applyNumberFormat="1" applyFont="1" applyBorder="1" applyAlignment="1">
      <alignment horizontal="center" vertical="center"/>
    </xf>
    <xf numFmtId="0" fontId="35" fillId="0" borderId="2" xfId="0" applyFont="1" applyBorder="1" applyAlignment="1">
      <alignment horizontal="center" vertical="center"/>
    </xf>
    <xf numFmtId="0" fontId="35" fillId="0" borderId="24" xfId="0" applyFont="1" applyBorder="1" applyAlignment="1">
      <alignment horizontal="center" vertical="center"/>
    </xf>
    <xf numFmtId="0" fontId="38" fillId="0" borderId="65" xfId="0" applyFont="1" applyBorder="1" applyAlignment="1">
      <alignment horizontal="center" vertical="center"/>
    </xf>
    <xf numFmtId="0" fontId="38" fillId="0" borderId="78" xfId="0" applyFont="1" applyBorder="1" applyAlignment="1">
      <alignment horizontal="center" vertical="center"/>
    </xf>
    <xf numFmtId="0" fontId="38" fillId="0" borderId="1" xfId="0" applyFont="1" applyBorder="1" applyAlignment="1">
      <alignment horizontal="center" vertical="center"/>
    </xf>
    <xf numFmtId="0" fontId="38" fillId="0" borderId="32" xfId="0" applyFont="1" applyBorder="1" applyAlignment="1">
      <alignment horizontal="center" vertical="center"/>
    </xf>
    <xf numFmtId="0" fontId="38" fillId="0" borderId="3" xfId="0" applyFont="1" applyBorder="1" applyAlignment="1">
      <alignment horizontal="center" vertical="center"/>
    </xf>
    <xf numFmtId="0" fontId="38" fillId="0" borderId="81" xfId="0" applyFont="1" applyBorder="1" applyAlignment="1">
      <alignment horizontal="center" vertical="center"/>
    </xf>
    <xf numFmtId="0" fontId="37" fillId="0" borderId="77" xfId="0" applyFont="1" applyBorder="1" applyAlignment="1">
      <alignment horizontal="center" vertical="center" wrapText="1"/>
    </xf>
    <xf numFmtId="0" fontId="36" fillId="0" borderId="66" xfId="0" applyFont="1" applyBorder="1" applyAlignment="1">
      <alignment horizontal="center" vertical="center" wrapText="1"/>
    </xf>
    <xf numFmtId="0" fontId="36" fillId="0" borderId="78" xfId="0" applyFont="1" applyBorder="1" applyAlignment="1">
      <alignment horizontal="center" vertical="center" wrapText="1"/>
    </xf>
    <xf numFmtId="0" fontId="36" fillId="0" borderId="24" xfId="0" applyFont="1" applyBorder="1" applyAlignment="1">
      <alignment horizontal="center" vertical="center" wrapText="1"/>
    </xf>
    <xf numFmtId="0" fontId="36" fillId="0" borderId="0" xfId="0" applyFont="1" applyAlignment="1">
      <alignment horizontal="center" vertical="center" wrapText="1"/>
    </xf>
    <xf numFmtId="0" fontId="36" fillId="0" borderId="32" xfId="0" applyFont="1" applyBorder="1" applyAlignment="1">
      <alignment horizontal="center" vertical="center" wrapText="1"/>
    </xf>
    <xf numFmtId="0" fontId="36" fillId="0" borderId="82" xfId="0" applyFont="1" applyBorder="1" applyAlignment="1">
      <alignment horizontal="center" vertical="center" wrapText="1"/>
    </xf>
    <xf numFmtId="0" fontId="36" fillId="0" borderId="4" xfId="0" applyFont="1" applyBorder="1" applyAlignment="1">
      <alignment horizontal="center" vertical="center" wrapText="1"/>
    </xf>
    <xf numFmtId="0" fontId="36" fillId="0" borderId="81" xfId="0" applyFont="1" applyBorder="1" applyAlignment="1">
      <alignment horizontal="center" vertical="center" wrapText="1"/>
    </xf>
    <xf numFmtId="0" fontId="37" fillId="0" borderId="77" xfId="0" applyFont="1" applyBorder="1" applyAlignment="1">
      <alignment horizontal="center" vertical="top" wrapText="1"/>
    </xf>
    <xf numFmtId="0" fontId="37" fillId="0" borderId="66" xfId="0" quotePrefix="1" applyFont="1" applyBorder="1" applyAlignment="1">
      <alignment horizontal="center" vertical="top"/>
    </xf>
    <xf numFmtId="0" fontId="37" fillId="0" borderId="67" xfId="0" quotePrefix="1" applyFont="1" applyBorder="1" applyAlignment="1">
      <alignment horizontal="center" vertical="top"/>
    </xf>
    <xf numFmtId="0" fontId="37" fillId="0" borderId="24" xfId="0" quotePrefix="1" applyFont="1" applyBorder="1" applyAlignment="1">
      <alignment horizontal="center" vertical="top"/>
    </xf>
    <xf numFmtId="0" fontId="37" fillId="0" borderId="0" xfId="0" quotePrefix="1" applyFont="1" applyAlignment="1">
      <alignment horizontal="center" vertical="top"/>
    </xf>
    <xf numFmtId="0" fontId="37" fillId="0" borderId="2" xfId="0" quotePrefix="1" applyFont="1" applyBorder="1" applyAlignment="1">
      <alignment horizontal="center" vertical="top"/>
    </xf>
    <xf numFmtId="0" fontId="37" fillId="0" borderId="82" xfId="0" quotePrefix="1" applyFont="1" applyBorder="1" applyAlignment="1">
      <alignment horizontal="center" vertical="top"/>
    </xf>
    <xf numFmtId="0" fontId="37" fillId="0" borderId="4" xfId="0" quotePrefix="1" applyFont="1" applyBorder="1" applyAlignment="1">
      <alignment horizontal="center" vertical="top"/>
    </xf>
    <xf numFmtId="0" fontId="37" fillId="0" borderId="19" xfId="0" quotePrefix="1" applyFont="1" applyBorder="1" applyAlignment="1">
      <alignment horizontal="center" vertical="top"/>
    </xf>
    <xf numFmtId="0" fontId="12" fillId="0" borderId="0" xfId="0" applyFont="1" applyAlignment="1">
      <alignment horizontal="center"/>
    </xf>
    <xf numFmtId="166" fontId="39" fillId="0" borderId="33" xfId="0" applyNumberFormat="1" applyFont="1" applyBorder="1" applyAlignment="1">
      <alignment horizontal="center" vertical="center" wrapText="1"/>
    </xf>
    <xf numFmtId="166" fontId="39" fillId="0" borderId="27" xfId="0" applyNumberFormat="1" applyFont="1" applyBorder="1" applyAlignment="1">
      <alignment horizontal="center" vertical="center" wrapText="1"/>
    </xf>
    <xf numFmtId="166" fontId="39" fillId="0" borderId="24" xfId="0" applyNumberFormat="1" applyFont="1" applyBorder="1" applyAlignment="1">
      <alignment horizontal="center" vertical="center" wrapText="1"/>
    </xf>
    <xf numFmtId="166" fontId="39" fillId="0" borderId="32" xfId="0" applyNumberFormat="1" applyFont="1" applyBorder="1" applyAlignment="1">
      <alignment horizontal="center" vertical="center" wrapText="1"/>
    </xf>
    <xf numFmtId="166" fontId="39" fillId="0" borderId="25" xfId="0" applyNumberFormat="1" applyFont="1" applyBorder="1" applyAlignment="1">
      <alignment horizontal="center" vertical="center" wrapText="1"/>
    </xf>
    <xf numFmtId="166" fontId="39" fillId="0" borderId="10" xfId="0" applyNumberFormat="1" applyFont="1" applyBorder="1" applyAlignment="1">
      <alignment horizontal="center" vertical="center" wrapText="1"/>
    </xf>
    <xf numFmtId="0" fontId="39" fillId="0" borderId="26" xfId="0" applyFont="1" applyBorder="1" applyAlignment="1">
      <alignment horizontal="center" vertical="center" wrapText="1"/>
    </xf>
    <xf numFmtId="0" fontId="39" fillId="0" borderId="62" xfId="0" applyFont="1" applyBorder="1" applyAlignment="1">
      <alignment horizontal="center" vertical="center" wrapText="1"/>
    </xf>
    <xf numFmtId="0" fontId="39" fillId="0" borderId="6" xfId="0" applyFont="1" applyBorder="1" applyAlignment="1">
      <alignment horizontal="center" vertical="center" wrapText="1"/>
    </xf>
    <xf numFmtId="0" fontId="39" fillId="0" borderId="33" xfId="0" applyFont="1" applyBorder="1" applyAlignment="1">
      <alignment horizontal="center" vertical="center" wrapText="1"/>
    </xf>
    <xf numFmtId="0" fontId="35" fillId="0" borderId="8" xfId="0" applyFont="1" applyBorder="1" applyAlignment="1">
      <alignment vertical="center"/>
    </xf>
    <xf numFmtId="0" fontId="35" fillId="0" borderId="24" xfId="0" applyFont="1" applyBorder="1" applyAlignment="1">
      <alignment vertical="center"/>
    </xf>
    <xf numFmtId="0" fontId="35" fillId="0" borderId="32" xfId="0" applyFont="1" applyBorder="1" applyAlignment="1">
      <alignment vertical="center"/>
    </xf>
    <xf numFmtId="0" fontId="35" fillId="0" borderId="25" xfId="0" applyFont="1" applyBorder="1" applyAlignment="1">
      <alignment vertical="center"/>
    </xf>
    <xf numFmtId="0" fontId="35" fillId="0" borderId="10" xfId="0" applyFont="1" applyBorder="1" applyAlignment="1">
      <alignment vertical="center"/>
    </xf>
    <xf numFmtId="0" fontId="17" fillId="0" borderId="42" xfId="0" applyFont="1" applyBorder="1" applyAlignment="1">
      <alignment horizontal="center"/>
    </xf>
    <xf numFmtId="0" fontId="17" fillId="0" borderId="44" xfId="0" applyFont="1" applyBorder="1" applyAlignment="1">
      <alignment horizontal="center"/>
    </xf>
    <xf numFmtId="0" fontId="17" fillId="0" borderId="45" xfId="0" applyFont="1" applyBorder="1" applyAlignment="1">
      <alignment horizontal="center"/>
    </xf>
    <xf numFmtId="0" fontId="39" fillId="0" borderId="24" xfId="0" applyFont="1" applyBorder="1" applyAlignment="1">
      <alignment horizontal="center" vertical="center" wrapText="1"/>
    </xf>
    <xf numFmtId="0" fontId="35" fillId="0" borderId="0" xfId="0" applyFont="1" applyAlignment="1">
      <alignment vertical="center"/>
    </xf>
    <xf numFmtId="1" fontId="4" fillId="0" borderId="26" xfId="0" applyNumberFormat="1" applyFont="1" applyBorder="1" applyAlignment="1">
      <alignment horizontal="center" vertical="center"/>
    </xf>
    <xf numFmtId="1" fontId="4" fillId="0" borderId="62" xfId="0" applyNumberFormat="1" applyFont="1" applyBorder="1" applyAlignment="1">
      <alignment horizontal="center" vertical="center"/>
    </xf>
    <xf numFmtId="1" fontId="1" fillId="0" borderId="62" xfId="0" applyNumberFormat="1" applyFont="1" applyBorder="1" applyAlignment="1">
      <alignment horizontal="center" vertical="center"/>
    </xf>
    <xf numFmtId="1" fontId="1" fillId="0" borderId="6" xfId="0" applyNumberFormat="1" applyFont="1" applyBorder="1" applyAlignment="1">
      <alignment horizontal="center" vertical="center"/>
    </xf>
    <xf numFmtId="0" fontId="24" fillId="3" borderId="26" xfId="0" applyFont="1" applyFill="1" applyBorder="1" applyAlignment="1">
      <alignment horizontal="center" vertical="center" wrapText="1"/>
    </xf>
    <xf numFmtId="0" fontId="24" fillId="3" borderId="62" xfId="0" applyFont="1" applyFill="1" applyBorder="1" applyAlignment="1">
      <alignment horizontal="center" vertical="center" wrapText="1"/>
    </xf>
    <xf numFmtId="0" fontId="23" fillId="3" borderId="65" xfId="0" applyFont="1" applyFill="1" applyBorder="1" applyAlignment="1">
      <alignment horizontal="center"/>
    </xf>
    <xf numFmtId="0" fontId="23" fillId="3" borderId="66" xfId="0" applyFont="1" applyFill="1" applyBorder="1" applyAlignment="1">
      <alignment horizontal="center"/>
    </xf>
    <xf numFmtId="0" fontId="23" fillId="3" borderId="67" xfId="0" applyFont="1" applyFill="1" applyBorder="1" applyAlignment="1">
      <alignment horizontal="center"/>
    </xf>
    <xf numFmtId="0" fontId="23" fillId="3" borderId="3" xfId="0" applyFont="1" applyFill="1" applyBorder="1" applyAlignment="1">
      <alignment horizontal="center"/>
    </xf>
    <xf numFmtId="0" fontId="23" fillId="3" borderId="4" xfId="0" applyFont="1" applyFill="1" applyBorder="1" applyAlignment="1">
      <alignment horizontal="center"/>
    </xf>
    <xf numFmtId="0" fontId="23" fillId="3" borderId="19" xfId="0" applyFont="1" applyFill="1" applyBorder="1" applyAlignment="1">
      <alignment horizontal="center"/>
    </xf>
    <xf numFmtId="0" fontId="18" fillId="3" borderId="68" xfId="0" applyFont="1" applyFill="1" applyBorder="1" applyAlignment="1">
      <alignment horizontal="center" vertical="center" wrapText="1"/>
    </xf>
    <xf numFmtId="0" fontId="18" fillId="3" borderId="69" xfId="0" applyFont="1" applyFill="1" applyBorder="1" applyAlignment="1">
      <alignment horizontal="center" vertical="center" wrapText="1"/>
    </xf>
    <xf numFmtId="0" fontId="18" fillId="3" borderId="62" xfId="0" applyFont="1" applyFill="1" applyBorder="1" applyAlignment="1">
      <alignment horizontal="center" vertical="center" wrapText="1"/>
    </xf>
    <xf numFmtId="0" fontId="16" fillId="3" borderId="32" xfId="0" applyFont="1" applyFill="1" applyBorder="1" applyAlignment="1">
      <alignment horizontal="center" vertical="center"/>
    </xf>
    <xf numFmtId="168" fontId="18" fillId="8" borderId="62" xfId="0" applyNumberFormat="1" applyFont="1" applyFill="1" applyBorder="1" applyAlignment="1">
      <alignment horizontal="center" vertical="center" wrapText="1"/>
    </xf>
    <xf numFmtId="168" fontId="18" fillId="8" borderId="62" xfId="0" applyNumberFormat="1" applyFont="1" applyFill="1" applyBorder="1" applyAlignment="1">
      <alignment horizontal="center" vertical="center"/>
    </xf>
    <xf numFmtId="168" fontId="14" fillId="8" borderId="24" xfId="0" applyNumberFormat="1" applyFont="1" applyFill="1" applyBorder="1" applyAlignment="1">
      <alignment horizontal="center" vertical="center"/>
    </xf>
    <xf numFmtId="168" fontId="14" fillId="8" borderId="0" xfId="0" applyNumberFormat="1" applyFont="1" applyFill="1" applyAlignment="1">
      <alignment horizontal="center" vertical="center"/>
    </xf>
    <xf numFmtId="168" fontId="14" fillId="8" borderId="32" xfId="0" applyNumberFormat="1" applyFont="1" applyFill="1" applyBorder="1" applyAlignment="1">
      <alignment horizontal="center" vertical="center"/>
    </xf>
    <xf numFmtId="168" fontId="14" fillId="8" borderId="25" xfId="0" applyNumberFormat="1" applyFont="1" applyFill="1" applyBorder="1" applyAlignment="1">
      <alignment horizontal="center" vertical="center"/>
    </xf>
    <xf numFmtId="168" fontId="14" fillId="8" borderId="5" xfId="0" applyNumberFormat="1" applyFont="1" applyFill="1" applyBorder="1" applyAlignment="1">
      <alignment horizontal="center" vertical="center"/>
    </xf>
    <xf numFmtId="168" fontId="14" fillId="8" borderId="10" xfId="0" applyNumberFormat="1" applyFont="1" applyFill="1" applyBorder="1" applyAlignment="1">
      <alignment horizontal="center" vertical="center"/>
    </xf>
    <xf numFmtId="0" fontId="16" fillId="3" borderId="24" xfId="0" applyFont="1" applyFill="1" applyBorder="1" applyAlignment="1">
      <alignment horizontal="center" vertical="center"/>
    </xf>
    <xf numFmtId="0" fontId="16" fillId="3" borderId="0" xfId="0" applyFont="1" applyFill="1" applyAlignment="1">
      <alignment horizontal="center" vertical="center"/>
    </xf>
    <xf numFmtId="0" fontId="16" fillId="3" borderId="25" xfId="0" applyFont="1" applyFill="1" applyBorder="1" applyAlignment="1">
      <alignment horizontal="center" vertical="center"/>
    </xf>
    <xf numFmtId="0" fontId="16" fillId="3" borderId="5" xfId="0" applyFont="1" applyFill="1" applyBorder="1" applyAlignment="1">
      <alignment horizontal="center" vertical="center"/>
    </xf>
    <xf numFmtId="0" fontId="16" fillId="3" borderId="10" xfId="0" applyFont="1" applyFill="1" applyBorder="1" applyAlignment="1">
      <alignment horizontal="center" vertical="center"/>
    </xf>
    <xf numFmtId="166" fontId="16" fillId="3" borderId="26" xfId="0" applyNumberFormat="1" applyFont="1" applyFill="1" applyBorder="1" applyAlignment="1" applyProtection="1">
      <alignment horizontal="center" vertical="center"/>
      <protection locked="0"/>
    </xf>
    <xf numFmtId="166" fontId="16" fillId="3" borderId="62" xfId="0" applyNumberFormat="1" applyFont="1" applyFill="1" applyBorder="1" applyAlignment="1" applyProtection="1">
      <alignment horizontal="center" vertical="center"/>
      <protection locked="0"/>
    </xf>
    <xf numFmtId="0" fontId="16" fillId="3" borderId="33" xfId="0" applyFont="1" applyFill="1" applyBorder="1" applyAlignment="1" applyProtection="1">
      <alignment horizontal="center"/>
      <protection locked="0"/>
    </xf>
    <xf numFmtId="0" fontId="16" fillId="3" borderId="8" xfId="0" applyFont="1" applyFill="1" applyBorder="1" applyAlignment="1" applyProtection="1">
      <alignment horizontal="center"/>
      <protection locked="0"/>
    </xf>
    <xf numFmtId="0" fontId="16" fillId="3" borderId="27" xfId="0" applyFont="1" applyFill="1" applyBorder="1" applyAlignment="1" applyProtection="1">
      <alignment horizontal="center"/>
      <protection locked="0"/>
    </xf>
    <xf numFmtId="166" fontId="19" fillId="0" borderId="29" xfId="0" applyNumberFormat="1" applyFont="1" applyBorder="1" applyAlignment="1">
      <alignment horizontal="center"/>
    </xf>
    <xf numFmtId="166" fontId="19" fillId="0" borderId="70" xfId="0" applyNumberFormat="1" applyFont="1" applyBorder="1" applyAlignment="1">
      <alignment horizontal="center"/>
    </xf>
    <xf numFmtId="0" fontId="18" fillId="3" borderId="71" xfId="0" applyFont="1" applyFill="1" applyBorder="1" applyAlignment="1">
      <alignment horizontal="center" vertical="center"/>
    </xf>
    <xf numFmtId="0" fontId="18" fillId="3" borderId="72" xfId="0" applyFont="1" applyFill="1" applyBorder="1" applyAlignment="1">
      <alignment horizontal="center" vertical="center"/>
    </xf>
    <xf numFmtId="0" fontId="18" fillId="3" borderId="73" xfId="0" applyFont="1" applyFill="1" applyBorder="1" applyAlignment="1">
      <alignment horizontal="center" vertical="center"/>
    </xf>
    <xf numFmtId="0" fontId="18" fillId="0" borderId="74" xfId="0" applyFont="1" applyBorder="1" applyAlignment="1">
      <alignment horizontal="center" vertical="center"/>
    </xf>
    <xf numFmtId="0" fontId="18" fillId="0" borderId="46" xfId="0" applyFont="1" applyBorder="1" applyAlignment="1">
      <alignment horizontal="center" vertical="center"/>
    </xf>
    <xf numFmtId="0" fontId="18" fillId="0" borderId="30" xfId="0" applyFont="1" applyBorder="1" applyAlignment="1">
      <alignment horizontal="center" vertical="center"/>
    </xf>
    <xf numFmtId="0" fontId="30" fillId="3" borderId="37" xfId="0" applyFont="1" applyFill="1" applyBorder="1" applyAlignment="1">
      <alignment horizontal="center" vertical="center" textRotation="90"/>
    </xf>
    <xf numFmtId="0" fontId="30" fillId="3" borderId="30" xfId="0" applyFont="1" applyFill="1" applyBorder="1" applyAlignment="1">
      <alignment horizontal="center" vertical="center" textRotation="90"/>
    </xf>
    <xf numFmtId="0" fontId="18" fillId="3" borderId="6" xfId="0" applyFont="1" applyFill="1" applyBorder="1" applyAlignment="1">
      <alignment horizontal="center"/>
    </xf>
    <xf numFmtId="0" fontId="18" fillId="3" borderId="75" xfId="0" applyFont="1" applyFill="1" applyBorder="1" applyAlignment="1">
      <alignment horizontal="center"/>
    </xf>
    <xf numFmtId="0" fontId="19" fillId="0" borderId="18" xfId="0" applyFont="1" applyBorder="1" applyAlignment="1">
      <alignment horizontal="center"/>
    </xf>
    <xf numFmtId="0" fontId="19" fillId="0" borderId="76" xfId="0" applyFont="1" applyBorder="1" applyAlignment="1">
      <alignment horizontal="center"/>
    </xf>
    <xf numFmtId="166" fontId="19" fillId="0" borderId="18" xfId="0" applyNumberFormat="1" applyFont="1" applyBorder="1" applyAlignment="1">
      <alignment horizontal="center"/>
    </xf>
    <xf numFmtId="166" fontId="19" fillId="0" borderId="76" xfId="0" applyNumberFormat="1" applyFont="1" applyBorder="1" applyAlignment="1">
      <alignment horizontal="center"/>
    </xf>
    <xf numFmtId="1" fontId="0" fillId="0" borderId="20" xfId="0" applyNumberFormat="1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16" fontId="18" fillId="0" borderId="25" xfId="6" applyNumberFormat="1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8" fillId="0" borderId="33" xfId="6" applyFont="1" applyBorder="1" applyAlignment="1">
      <alignment horizontal="center"/>
    </xf>
    <xf numFmtId="0" fontId="18" fillId="0" borderId="8" xfId="6" applyFont="1" applyBorder="1" applyAlignment="1">
      <alignment horizontal="center"/>
    </xf>
    <xf numFmtId="0" fontId="18" fillId="0" borderId="63" xfId="6" applyFont="1" applyBorder="1" applyAlignment="1">
      <alignment horizontal="center"/>
    </xf>
    <xf numFmtId="0" fontId="14" fillId="0" borderId="33" xfId="6" applyFont="1" applyBorder="1" applyAlignment="1">
      <alignment horizontal="center"/>
    </xf>
    <xf numFmtId="0" fontId="14" fillId="0" borderId="8" xfId="6" applyFont="1" applyBorder="1" applyAlignment="1">
      <alignment horizontal="center"/>
    </xf>
    <xf numFmtId="0" fontId="14" fillId="0" borderId="27" xfId="6" applyFont="1" applyBorder="1" applyAlignment="1">
      <alignment horizontal="center"/>
    </xf>
    <xf numFmtId="0" fontId="12" fillId="0" borderId="25" xfId="6" applyFont="1" applyBorder="1" applyAlignment="1">
      <alignment horizontal="center" vertical="center"/>
    </xf>
    <xf numFmtId="0" fontId="12" fillId="0" borderId="5" xfId="6" applyFont="1" applyBorder="1" applyAlignment="1">
      <alignment horizontal="center" vertical="center"/>
    </xf>
    <xf numFmtId="0" fontId="12" fillId="0" borderId="10" xfId="6" applyFont="1" applyBorder="1" applyAlignment="1">
      <alignment horizontal="center" vertical="center"/>
    </xf>
    <xf numFmtId="0" fontId="18" fillId="0" borderId="4" xfId="6" applyFont="1" applyBorder="1" applyAlignment="1">
      <alignment horizontal="left" vertical="center"/>
    </xf>
    <xf numFmtId="0" fontId="18" fillId="0" borderId="0" xfId="6" applyFont="1" applyAlignment="1">
      <alignment horizontal="left" vertical="top" wrapText="1"/>
    </xf>
    <xf numFmtId="0" fontId="15" fillId="0" borderId="0" xfId="6" applyFont="1" applyAlignment="1">
      <alignment horizontal="center" vertical="center" wrapText="1"/>
    </xf>
    <xf numFmtId="1" fontId="1" fillId="0" borderId="26" xfId="0" applyNumberFormat="1" applyFont="1" applyBorder="1" applyAlignment="1">
      <alignment horizontal="center" vertical="center"/>
    </xf>
    <xf numFmtId="49" fontId="4" fillId="0" borderId="6" xfId="0" applyNumberFormat="1" applyFont="1" applyBorder="1" applyAlignment="1">
      <alignment horizontal="center" vertical="center"/>
    </xf>
    <xf numFmtId="49" fontId="4" fillId="0" borderId="27" xfId="0" applyNumberFormat="1" applyFont="1" applyBorder="1" applyAlignment="1">
      <alignment horizontal="center" vertical="center"/>
    </xf>
    <xf numFmtId="49" fontId="4" fillId="0" borderId="32" xfId="0" applyNumberFormat="1" applyFont="1" applyBorder="1" applyAlignment="1">
      <alignment horizontal="center" vertical="center"/>
    </xf>
    <xf numFmtId="49" fontId="4" fillId="0" borderId="25" xfId="0" applyNumberFormat="1" applyFont="1" applyBorder="1" applyAlignment="1">
      <alignment horizontal="center" vertical="center"/>
    </xf>
    <xf numFmtId="49" fontId="4" fillId="0" borderId="10" xfId="0" applyNumberFormat="1" applyFont="1" applyBorder="1" applyAlignment="1">
      <alignment horizontal="center" vertical="center"/>
    </xf>
    <xf numFmtId="166" fontId="4" fillId="0" borderId="33" xfId="0" applyNumberFormat="1" applyFont="1" applyBorder="1" applyAlignment="1">
      <alignment horizontal="center" vertical="center"/>
    </xf>
    <xf numFmtId="166" fontId="4" fillId="0" borderId="27" xfId="0" applyNumberFormat="1" applyFont="1" applyBorder="1" applyAlignment="1">
      <alignment horizontal="center" vertical="center"/>
    </xf>
    <xf numFmtId="166" fontId="4" fillId="0" borderId="24" xfId="0" applyNumberFormat="1" applyFont="1" applyBorder="1" applyAlignment="1">
      <alignment horizontal="center" vertical="center"/>
    </xf>
    <xf numFmtId="166" fontId="4" fillId="0" borderId="32" xfId="0" applyNumberFormat="1" applyFont="1" applyBorder="1" applyAlignment="1">
      <alignment horizontal="center" vertical="center"/>
    </xf>
    <xf numFmtId="0" fontId="4" fillId="10" borderId="33" xfId="0" applyFont="1" applyFill="1" applyBorder="1" applyAlignment="1">
      <alignment horizontal="center" vertical="center"/>
    </xf>
    <xf numFmtId="0" fontId="4" fillId="10" borderId="27" xfId="0" applyFont="1" applyFill="1" applyBorder="1" applyAlignment="1">
      <alignment horizontal="center" vertical="center"/>
    </xf>
    <xf numFmtId="0" fontId="4" fillId="10" borderId="24" xfId="0" applyFont="1" applyFill="1" applyBorder="1" applyAlignment="1">
      <alignment horizontal="center" vertical="center"/>
    </xf>
    <xf numFmtId="0" fontId="4" fillId="10" borderId="32" xfId="0" applyFont="1" applyFill="1" applyBorder="1" applyAlignment="1">
      <alignment horizontal="center" vertical="center"/>
    </xf>
    <xf numFmtId="0" fontId="1" fillId="10" borderId="24" xfId="0" applyFont="1" applyFill="1" applyBorder="1" applyAlignment="1">
      <alignment horizontal="center" vertical="center"/>
    </xf>
    <xf numFmtId="0" fontId="1" fillId="10" borderId="32" xfId="0" applyFont="1" applyFill="1" applyBorder="1" applyAlignment="1">
      <alignment horizontal="center" vertical="center"/>
    </xf>
    <xf numFmtId="0" fontId="1" fillId="10" borderId="25" xfId="0" applyFont="1" applyFill="1" applyBorder="1" applyAlignment="1">
      <alignment horizontal="center" vertical="center"/>
    </xf>
    <xf numFmtId="0" fontId="1" fillId="10" borderId="10" xfId="0" applyFont="1" applyFill="1" applyBorder="1" applyAlignment="1">
      <alignment horizontal="center" vertical="center"/>
    </xf>
    <xf numFmtId="0" fontId="4" fillId="0" borderId="62" xfId="0" applyFont="1" applyBorder="1" applyAlignment="1">
      <alignment horizontal="center" vertical="center"/>
    </xf>
    <xf numFmtId="166" fontId="1" fillId="0" borderId="24" xfId="0" applyNumberFormat="1" applyFont="1" applyBorder="1" applyAlignment="1">
      <alignment horizontal="center" vertical="center"/>
    </xf>
    <xf numFmtId="166" fontId="1" fillId="0" borderId="32" xfId="0" applyNumberFormat="1" applyFont="1" applyBorder="1" applyAlignment="1">
      <alignment horizontal="center" vertical="center"/>
    </xf>
    <xf numFmtId="166" fontId="1" fillId="0" borderId="25" xfId="0" applyNumberFormat="1" applyFont="1" applyBorder="1" applyAlignment="1">
      <alignment horizontal="center" vertical="center"/>
    </xf>
    <xf numFmtId="166" fontId="1" fillId="0" borderId="10" xfId="0" applyNumberFormat="1" applyFont="1" applyBorder="1" applyAlignment="1">
      <alignment horizontal="center" vertical="center"/>
    </xf>
    <xf numFmtId="166" fontId="4" fillId="10" borderId="33" xfId="0" applyNumberFormat="1" applyFont="1" applyFill="1" applyBorder="1" applyAlignment="1">
      <alignment horizontal="center" vertical="center"/>
    </xf>
    <xf numFmtId="166" fontId="4" fillId="10" borderId="27" xfId="0" applyNumberFormat="1" applyFont="1" applyFill="1" applyBorder="1" applyAlignment="1">
      <alignment horizontal="center" vertical="center"/>
    </xf>
    <xf numFmtId="166" fontId="4" fillId="10" borderId="24" xfId="0" applyNumberFormat="1" applyFont="1" applyFill="1" applyBorder="1" applyAlignment="1">
      <alignment horizontal="center" vertical="center"/>
    </xf>
    <xf numFmtId="166" fontId="4" fillId="10" borderId="32" xfId="0" applyNumberFormat="1" applyFont="1" applyFill="1" applyBorder="1" applyAlignment="1">
      <alignment horizontal="center" vertical="center"/>
    </xf>
    <xf numFmtId="166" fontId="1" fillId="10" borderId="24" xfId="0" applyNumberFormat="1" applyFont="1" applyFill="1" applyBorder="1" applyAlignment="1">
      <alignment horizontal="center" vertical="center"/>
    </xf>
    <xf numFmtId="166" fontId="1" fillId="10" borderId="32" xfId="0" applyNumberFormat="1" applyFont="1" applyFill="1" applyBorder="1" applyAlignment="1">
      <alignment horizontal="center" vertical="center"/>
    </xf>
    <xf numFmtId="166" fontId="1" fillId="10" borderId="25" xfId="0" applyNumberFormat="1" applyFont="1" applyFill="1" applyBorder="1" applyAlignment="1">
      <alignment horizontal="center" vertical="center"/>
    </xf>
    <xf numFmtId="166" fontId="1" fillId="10" borderId="10" xfId="0" applyNumberFormat="1" applyFont="1" applyFill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12" borderId="0" xfId="0" applyFill="true"/>
    <xf numFmtId="0" fontId="0" fillId="14" borderId="0" xfId="0" applyFill="true"/>
    <xf numFmtId="0" fontId="0" fillId="16" borderId="0" xfId="0" applyFill="true"/>
  </cellXfs>
  <cellStyles count="8">
    <cellStyle name="Dezimal [0]" xfId="1" xr:uid="{00000000-0005-0000-0000-000000000000}"/>
    <cellStyle name="Lien hypertexte" xfId="2" builtinId="8"/>
    <cellStyle name="měny_Prodauditbericht VW.xls graf 1" xfId="3" xr:uid="{00000000-0005-0000-0000-000002000000}"/>
    <cellStyle name="Normal" xfId="0" builtinId="0"/>
    <cellStyle name="Standard_B1395S_2" xfId="4" xr:uid="{00000000-0005-0000-0000-000005000000}"/>
    <cellStyle name="Standard_Diag." xfId="5" xr:uid="{00000000-0005-0000-0000-000007000000}"/>
    <cellStyle name="Standard_Vorschlag1" xfId="6" xr:uid="{00000000-0005-0000-0000-000008000000}"/>
    <cellStyle name="Währung [0]" xfId="7" xr:uid="{00000000-0005-0000-0000-000009000000}"/>
  </cellStyles>
  <dxfs count="37">
    <dxf>
      <fill>
        <patternFill>
          <bgColor rgb="FF00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FF00"/>
        </patternFill>
      </fill>
    </dxf>
    <dxf>
      <fill>
        <patternFill>
          <bgColor rgb="FFFF0000"/>
        </patternFill>
      </fill>
    </dxf>
    <dxf>
      <fill>
        <patternFill>
          <bgColor rgb="FF00FF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worksheets/sheet10.xml" Type="http://schemas.openxmlformats.org/officeDocument/2006/relationships/worksheet"/><Relationship Id="rId11" Target="worksheets/sheet11.xml" Type="http://schemas.openxmlformats.org/officeDocument/2006/relationships/worksheet"/><Relationship Id="rId12" Target="worksheets/sheet12.xml" Type="http://schemas.openxmlformats.org/officeDocument/2006/relationships/worksheet"/><Relationship Id="rId13" Target="worksheets/sheet13.xml" Type="http://schemas.openxmlformats.org/officeDocument/2006/relationships/worksheet"/><Relationship Id="rId14" Target="worksheets/sheet14.xml" Type="http://schemas.openxmlformats.org/officeDocument/2006/relationships/worksheet"/><Relationship Id="rId15" Target="externalLinks/externalLink1.xml" Type="http://schemas.openxmlformats.org/officeDocument/2006/relationships/externalLink"/><Relationship Id="rId16" Target="theme/theme1.xml" Type="http://schemas.openxmlformats.org/officeDocument/2006/relationships/theme"/><Relationship Id="rId17" Target="styles.xml" Type="http://schemas.openxmlformats.org/officeDocument/2006/relationships/styles"/><Relationship Id="rId18" Target="sharedStrings.xml" Type="http://schemas.openxmlformats.org/officeDocument/2006/relationships/sharedStrings"/><Relationship Id="rId19" Target="calcChain.xml" Type="http://schemas.openxmlformats.org/officeDocument/2006/relationships/calcChain"/><Relationship Id="rId2" Target="worksheets/sheet2.xml" Type="http://schemas.openxmlformats.org/officeDocument/2006/relationships/worksheet"/><Relationship Id="rId20" Target="../customXml/item1.xml" Type="http://schemas.openxmlformats.org/officeDocument/2006/relationships/customXml"/><Relationship Id="rId21" Target="../customXml/item2.xml" Type="http://schemas.openxmlformats.org/officeDocument/2006/relationships/customXml"/><Relationship Id="rId22" Target="../customXml/item3.xml" Type="http://schemas.openxmlformats.org/officeDocument/2006/relationships/customXml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worksheets/sheet6.xml" Type="http://schemas.openxmlformats.org/officeDocument/2006/relationships/worksheet"/><Relationship Id="rId7" Target="worksheets/sheet7.xml" Type="http://schemas.openxmlformats.org/officeDocument/2006/relationships/worksheet"/><Relationship Id="rId8" Target="worksheets/sheet8.xml" Type="http://schemas.openxmlformats.org/officeDocument/2006/relationships/worksheet"/><Relationship Id="rId9" Target="worksheets/sheet9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jpeg" Type="http://schemas.openxmlformats.org/officeDocument/2006/relationships/image"/></Relationships>
</file>

<file path=xl/drawings/_rels/drawing2.xml.rels><?xml version="1.0" encoding="UTF-8" standalone="yes"?><Relationships xmlns="http://schemas.openxmlformats.org/package/2006/relationships"><Relationship Id="rId1" Target="../media/image2.png" Type="http://schemas.openxmlformats.org/officeDocument/2006/relationships/image"/></Relationships>
</file>

<file path=xl/drawings/_rels/drawing3.xml.rels><?xml version="1.0" encoding="UTF-8" standalone="yes"?><Relationships xmlns="http://schemas.openxmlformats.org/package/2006/relationships"><Relationship Id="rId1" Target="../media/image2.png" Type="http://schemas.openxmlformats.org/officeDocument/2006/relationships/image"/></Relationships>
</file>

<file path=xl/drawings/_rels/drawing4.xml.rels><?xml version="1.0" encoding="UTF-8" standalone="yes"?><Relationships xmlns="http://schemas.openxmlformats.org/package/2006/relationships"><Relationship Id="rId1" Target="../media/image2.png" Type="http://schemas.openxmlformats.org/officeDocument/2006/relationships/image"/></Relationships>
</file>

<file path=xl/drawings/_rels/drawing5.xml.rels><?xml version="1.0" encoding="UTF-8" standalone="yes"?><Relationships xmlns="http://schemas.openxmlformats.org/package/2006/relationships"><Relationship Id="rId1" Target="../media/image2.png" Type="http://schemas.openxmlformats.org/officeDocument/2006/relationships/image"/></Relationships>
</file>

<file path=xl/drawings/_rels/drawing6.xml.rels><?xml version="1.0" encoding="UTF-8" standalone="yes"?><Relationships xmlns="http://schemas.openxmlformats.org/package/2006/relationships"><Relationship Id="rId1" Target="../media/image2.png" Type="http://schemas.openxmlformats.org/officeDocument/2006/relationships/image"/></Relationships>
</file>

<file path=xl/drawings/_rels/drawing7.xml.rels><?xml version="1.0" encoding="UTF-8" standalone="yes"?><Relationships xmlns="http://schemas.openxmlformats.org/package/2006/relationships"><Relationship Id="rId1" Target="../media/image2.png" Type="http://schemas.openxmlformats.org/officeDocument/2006/relationships/image"/></Relationships>
</file>

<file path=xl/drawings/_rels/drawing8.xml.rels><?xml version="1.0" encoding="UTF-8" standalone="yes"?><Relationships xmlns="http://schemas.openxmlformats.org/package/2006/relationships"><Relationship Id="rId1" Target="../media/image2.png" Type="http://schemas.openxmlformats.org/officeDocument/2006/relationships/image"/></Relationships>
</file>

<file path=xl/drawings/_rels/drawing9.xml.rels><?xml version="1.0" encoding="UTF-8" standalone="yes"?><Relationships xmlns="http://schemas.openxmlformats.org/package/2006/relationships"><Relationship Id="rId1" Target="../media/image2.png" Type="http://schemas.openxmlformats.org/officeDocument/2006/relationships/image"/></Relationships>
</file>

<file path=xl/drawings/_rels/drawing10.xml.rels><?xml version="1.0" encoding="UTF-8" standalone="yes"?><Relationships xmlns="http://schemas.openxmlformats.org/package/2006/relationships"><Relationship Id="rId1" Target="../media/image2.png" Type="http://schemas.openxmlformats.org/officeDocument/2006/relationships/image"/></Relationships>
</file>

<file path=xl/drawings/_rels/drawing11.xml.rels><?xml version="1.0" encoding="UTF-8" standalone="yes"?><Relationships xmlns="http://schemas.openxmlformats.org/package/2006/relationships"><Relationship Id="rId1" Target="../media/image2.png" Type="http://schemas.openxmlformats.org/officeDocument/2006/relationships/image"/></Relationships>
</file>

<file path=xl/drawings/_rels/drawing12.xml.rels><?xml version="1.0" encoding="UTF-8" standalone="yes"?><Relationships xmlns="http://schemas.openxmlformats.org/package/2006/relationships"><Relationship Id="rId1" Target="../media/image2.png" Type="http://schemas.openxmlformats.org/officeDocument/2006/relationships/image"/></Relationships>
</file>

<file path=xl/drawings/_rels/drawing13.xml.rels><?xml version="1.0" encoding="UTF-8" standalone="yes"?><Relationships xmlns="http://schemas.openxmlformats.org/package/2006/relationships"><Relationship Id="rId1" Target="../media/image2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</xdr:colOff>
      <xdr:row>0</xdr:row>
      <xdr:rowOff>95250</xdr:rowOff>
    </xdr:from>
    <xdr:to>
      <xdr:col>2</xdr:col>
      <xdr:colOff>600075</xdr:colOff>
      <xdr:row>1</xdr:row>
      <xdr:rowOff>180975</xdr:rowOff>
    </xdr:to>
    <xdr:pic>
      <xdr:nvPicPr>
        <xdr:cNvPr id="10247" name="Picture 7">
          <a:extLst>
            <a:ext uri="{FF2B5EF4-FFF2-40B4-BE49-F238E27FC236}">
              <a16:creationId xmlns:a16="http://schemas.microsoft.com/office/drawing/2014/main" id="{24EFA537-FFFD-4FFF-8482-53275A4EA4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95250"/>
          <a:ext cx="173355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</xdr:colOff>
      <xdr:row>1</xdr:row>
      <xdr:rowOff>19050</xdr:rowOff>
    </xdr:from>
    <xdr:to>
      <xdr:col>1</xdr:col>
      <xdr:colOff>647700</xdr:colOff>
      <xdr:row>2</xdr:row>
      <xdr:rowOff>200025</xdr:rowOff>
    </xdr:to>
    <xdr:pic>
      <xdr:nvPicPr>
        <xdr:cNvPr id="80898" name="Picture 2">
          <a:extLst>
            <a:ext uri="{FF2B5EF4-FFF2-40B4-BE49-F238E27FC236}">
              <a16:creationId xmlns:a16="http://schemas.microsoft.com/office/drawing/2014/main" id="{C58FFF61-0DF0-49BB-BA5E-AF3AD2F737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" y="114300"/>
          <a:ext cx="1466850" cy="371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</xdr:colOff>
      <xdr:row>1</xdr:row>
      <xdr:rowOff>19050</xdr:rowOff>
    </xdr:from>
    <xdr:to>
      <xdr:col>1</xdr:col>
      <xdr:colOff>647700</xdr:colOff>
      <xdr:row>2</xdr:row>
      <xdr:rowOff>200025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E8672C3D-94BF-448E-8E0E-F5074753C6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" y="114300"/>
          <a:ext cx="1409700" cy="371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</xdr:colOff>
      <xdr:row>1</xdr:row>
      <xdr:rowOff>19050</xdr:rowOff>
    </xdr:from>
    <xdr:to>
      <xdr:col>1</xdr:col>
      <xdr:colOff>647700</xdr:colOff>
      <xdr:row>2</xdr:row>
      <xdr:rowOff>200025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241FC09A-355C-49CE-8E88-96F48D1137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" y="114300"/>
          <a:ext cx="1409700" cy="371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</xdr:colOff>
      <xdr:row>1</xdr:row>
      <xdr:rowOff>19050</xdr:rowOff>
    </xdr:from>
    <xdr:to>
      <xdr:col>1</xdr:col>
      <xdr:colOff>647700</xdr:colOff>
      <xdr:row>2</xdr:row>
      <xdr:rowOff>200025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162E9087-81B3-41F9-B80D-545638AE20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" y="114300"/>
          <a:ext cx="1409700" cy="371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</xdr:colOff>
      <xdr:row>1</xdr:row>
      <xdr:rowOff>19050</xdr:rowOff>
    </xdr:from>
    <xdr:to>
      <xdr:col>1</xdr:col>
      <xdr:colOff>647700</xdr:colOff>
      <xdr:row>2</xdr:row>
      <xdr:rowOff>200025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9090F5AC-AFA7-4955-831D-55194E1638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" y="114300"/>
          <a:ext cx="1409700" cy="371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</xdr:colOff>
      <xdr:row>1</xdr:row>
      <xdr:rowOff>19050</xdr:rowOff>
    </xdr:from>
    <xdr:to>
      <xdr:col>1</xdr:col>
      <xdr:colOff>647700</xdr:colOff>
      <xdr:row>2</xdr:row>
      <xdr:rowOff>200025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C0A0CE74-BD7E-40CC-92BB-23A99AD0E3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" y="114300"/>
          <a:ext cx="1409700" cy="371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</xdr:colOff>
      <xdr:row>1</xdr:row>
      <xdr:rowOff>19050</xdr:rowOff>
    </xdr:from>
    <xdr:to>
      <xdr:col>1</xdr:col>
      <xdr:colOff>647700</xdr:colOff>
      <xdr:row>2</xdr:row>
      <xdr:rowOff>200025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C53210D6-24B4-421A-A20A-00CCA60F74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" y="114300"/>
          <a:ext cx="1409700" cy="371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</xdr:colOff>
      <xdr:row>1</xdr:row>
      <xdr:rowOff>19050</xdr:rowOff>
    </xdr:from>
    <xdr:to>
      <xdr:col>1</xdr:col>
      <xdr:colOff>647700</xdr:colOff>
      <xdr:row>2</xdr:row>
      <xdr:rowOff>200025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37A34B8A-AB2C-46F6-B653-7C6A0C3983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" y="114300"/>
          <a:ext cx="1409700" cy="371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</xdr:colOff>
      <xdr:row>1</xdr:row>
      <xdr:rowOff>19050</xdr:rowOff>
    </xdr:from>
    <xdr:to>
      <xdr:col>1</xdr:col>
      <xdr:colOff>647700</xdr:colOff>
      <xdr:row>2</xdr:row>
      <xdr:rowOff>200025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D8632732-4580-40C2-9BE1-AF1F23A767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" y="114300"/>
          <a:ext cx="1409700" cy="371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</xdr:colOff>
      <xdr:row>1</xdr:row>
      <xdr:rowOff>19050</xdr:rowOff>
    </xdr:from>
    <xdr:to>
      <xdr:col>1</xdr:col>
      <xdr:colOff>647700</xdr:colOff>
      <xdr:row>2</xdr:row>
      <xdr:rowOff>200025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6DBC09A2-2934-4E80-8FF5-713CF40CD9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" y="114300"/>
          <a:ext cx="1409700" cy="371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</xdr:colOff>
      <xdr:row>1</xdr:row>
      <xdr:rowOff>19050</xdr:rowOff>
    </xdr:from>
    <xdr:to>
      <xdr:col>1</xdr:col>
      <xdr:colOff>647700</xdr:colOff>
      <xdr:row>2</xdr:row>
      <xdr:rowOff>200025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A1A6806A-E62F-4C48-B94A-6C450CDC5D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" y="114300"/>
          <a:ext cx="1409700" cy="371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</xdr:colOff>
      <xdr:row>1</xdr:row>
      <xdr:rowOff>19050</xdr:rowOff>
    </xdr:from>
    <xdr:to>
      <xdr:col>1</xdr:col>
      <xdr:colOff>647700</xdr:colOff>
      <xdr:row>2</xdr:row>
      <xdr:rowOff>200025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2D1CD71E-35A8-43C1-98C6-9A0D8604EE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" y="114300"/>
          <a:ext cx="1409700" cy="371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file://///VWESS1/VOL1/Quality/MESBAHI/Produktaudit/PA-Berichte%202004/PA-Bericht_12-04%20AWSM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eneingabe"/>
      <sheetName val="Vorabinfo"/>
      <sheetName val="Deckblatt"/>
      <sheetName val="Fehlerdokument"/>
      <sheetName val="Grafik"/>
      <sheetName val="Ergebnisse"/>
      <sheetName val="Datenblatt 1"/>
      <sheetName val="Datenblatt 2"/>
      <sheetName val="Datenblatt 3"/>
      <sheetName val="Datenblatt 4"/>
      <sheetName val="Datenblatt 5"/>
      <sheetName val="Datenblatt 6"/>
      <sheetName val="Datenblatt 7"/>
      <sheetName val="Datenblatt 8"/>
      <sheetName val="Datenblatt 9"/>
      <sheetName val="Datenblatt 10"/>
      <sheetName val="Datenblatt 11"/>
      <sheetName val="Datenblatt 12"/>
      <sheetName val="Datenblatt 13"/>
      <sheetName val="Datenblatt 14"/>
      <sheetName val="Datenblatt 15"/>
      <sheetName val="Datenblatt 16"/>
      <sheetName val="Datenblatt 17"/>
      <sheetName val="Datenblatt 18"/>
      <sheetName val="Datenblatt 19"/>
      <sheetName val="Datenblatt 20"/>
      <sheetName val="Datenblatt 21"/>
      <sheetName val="Datenblatt 22"/>
      <sheetName val="Datenblatt 23"/>
      <sheetName val="Datenblatt 24"/>
      <sheetName val="Datenblatt 25"/>
      <sheetName val="Qkmax KW 01-16 2017 Seat (Inra)"/>
      <sheetName val="Qkmax KW 01-16 2017 Seat (Mora)"/>
      <sheetName val="Qkmax KW 01-16 `17 (Karoq Inra)"/>
      <sheetName val="Qkmax KW 01-16 `17 (Karoq Mora)"/>
      <sheetName val="Datenblatt_1"/>
      <sheetName val="Datenblatt_2"/>
      <sheetName val="Datenblatt_3"/>
      <sheetName val="Datenblatt_4"/>
      <sheetName val="Datenblatt_5"/>
      <sheetName val="Datenblatt_6"/>
      <sheetName val="Datenblatt_7"/>
      <sheetName val="Datenblatt_8"/>
      <sheetName val="Datenblatt_9"/>
      <sheetName val="Datenblatt_10"/>
      <sheetName val="Datenblatt_11"/>
      <sheetName val="Datenblatt_12"/>
      <sheetName val="Datenblatt_13"/>
      <sheetName val="Datenblatt_14"/>
      <sheetName val="Datenblatt_15"/>
      <sheetName val="Datenblatt_16"/>
      <sheetName val="Datenblatt_17"/>
      <sheetName val="Datenblatt_18"/>
      <sheetName val="Datenblatt_19"/>
      <sheetName val="Datenblatt_20"/>
      <sheetName val="Datenblatt_21"/>
      <sheetName val="Datenblatt_22"/>
      <sheetName val="Datenblatt_23"/>
      <sheetName val="Datenblatt_24"/>
      <sheetName val="Datenblatt_25"/>
      <sheetName val="SAP_Codes"/>
      <sheetName val="Datenblatt_110"/>
      <sheetName val="Datenblatt_26"/>
      <sheetName val="Datenblatt_31"/>
      <sheetName val="Datenblatt_41"/>
      <sheetName val="Datenblatt_51"/>
      <sheetName val="Datenblatt_61"/>
      <sheetName val="Datenblatt_71"/>
      <sheetName val="Datenblatt_81"/>
      <sheetName val="Datenblatt_91"/>
      <sheetName val="Datenblatt_101"/>
      <sheetName val="Datenblatt_111"/>
      <sheetName val="Datenblatt_121"/>
      <sheetName val="Datenblatt_131"/>
      <sheetName val="Datenblatt_141"/>
      <sheetName val="Datenblatt_151"/>
      <sheetName val="Datenblatt_161"/>
      <sheetName val="Datenblatt_171"/>
      <sheetName val="Datenblatt_181"/>
      <sheetName val="Datenblatt_191"/>
      <sheetName val="Datenblatt_201"/>
      <sheetName val="Datenblatt_211"/>
      <sheetName val="Datenblatt_221"/>
      <sheetName val="Datenblatt_231"/>
      <sheetName val="Datenblatt_241"/>
      <sheetName val="Datenblatt_251"/>
      <sheetName val="SAP_Codes1"/>
      <sheetName val="SAP Codes"/>
      <sheetName val="Datenblatt_112"/>
      <sheetName val="Datenblatt_27"/>
      <sheetName val="Datenblatt_32"/>
      <sheetName val="Datenblatt_42"/>
      <sheetName val="Datenblatt_52"/>
      <sheetName val="Datenblatt_62"/>
      <sheetName val="Datenblatt_72"/>
      <sheetName val="Datenblatt_82"/>
      <sheetName val="Datenblatt_92"/>
      <sheetName val="Datenblatt_102"/>
      <sheetName val="Datenblatt_113"/>
      <sheetName val="Datenblatt_122"/>
      <sheetName val="Datenblatt_132"/>
      <sheetName val="Datenblatt_142"/>
      <sheetName val="Datenblatt_152"/>
      <sheetName val="Datenblatt_162"/>
      <sheetName val="Datenblatt_172"/>
      <sheetName val="Datenblatt_182"/>
      <sheetName val="Datenblatt_192"/>
      <sheetName val="Datenblatt_202"/>
      <sheetName val="Datenblatt_212"/>
      <sheetName val="Datenblatt_222"/>
      <sheetName val="Datenblatt_232"/>
      <sheetName val="Datenblatt_242"/>
      <sheetName val="Datenblatt_252"/>
      <sheetName val="SAP_Codes2"/>
      <sheetName val="Datenblatt_127"/>
      <sheetName val="Datenblatt_218"/>
      <sheetName val="Datenblatt_37"/>
      <sheetName val="Datenblatt_47"/>
      <sheetName val="Datenblatt_57"/>
      <sheetName val="Datenblatt_67"/>
      <sheetName val="Datenblatt_77"/>
      <sheetName val="Datenblatt_87"/>
      <sheetName val="Datenblatt_97"/>
      <sheetName val="Datenblatt_107"/>
      <sheetName val="Datenblatt_1111"/>
      <sheetName val="Datenblatt_128"/>
      <sheetName val="Datenblatt_137"/>
      <sheetName val="Datenblatt_147"/>
      <sheetName val="Datenblatt_157"/>
      <sheetName val="Datenblatt_167"/>
      <sheetName val="Datenblatt_177"/>
      <sheetName val="Datenblatt_187"/>
      <sheetName val="Datenblatt_197"/>
      <sheetName val="Datenblatt_207"/>
      <sheetName val="Datenblatt_219"/>
      <sheetName val="Datenblatt_227"/>
      <sheetName val="Datenblatt_237"/>
      <sheetName val="Datenblatt_247"/>
      <sheetName val="Datenblatt_257"/>
      <sheetName val="SAP_Codes7"/>
      <sheetName val="Datenblatt_114"/>
      <sheetName val="Datenblatt_28"/>
      <sheetName val="Datenblatt_33"/>
      <sheetName val="Datenblatt_43"/>
      <sheetName val="Datenblatt_53"/>
      <sheetName val="Datenblatt_63"/>
      <sheetName val="Datenblatt_73"/>
      <sheetName val="Datenblatt_83"/>
      <sheetName val="Datenblatt_93"/>
      <sheetName val="Datenblatt_103"/>
      <sheetName val="Datenblatt_115"/>
      <sheetName val="Datenblatt_123"/>
      <sheetName val="Datenblatt_133"/>
      <sheetName val="Datenblatt_143"/>
      <sheetName val="Datenblatt_153"/>
      <sheetName val="Datenblatt_163"/>
      <sheetName val="Datenblatt_173"/>
      <sheetName val="Datenblatt_183"/>
      <sheetName val="Datenblatt_193"/>
      <sheetName val="Datenblatt_203"/>
      <sheetName val="Datenblatt_213"/>
      <sheetName val="Datenblatt_223"/>
      <sheetName val="Datenblatt_233"/>
      <sheetName val="Datenblatt_243"/>
      <sheetName val="Datenblatt_253"/>
      <sheetName val="SAP_Codes3"/>
      <sheetName val="Datenblatt_118"/>
      <sheetName val="Datenblatt_210"/>
      <sheetName val="Datenblatt_35"/>
      <sheetName val="Datenblatt_45"/>
      <sheetName val="Datenblatt_55"/>
      <sheetName val="Datenblatt_65"/>
      <sheetName val="Datenblatt_75"/>
      <sheetName val="Datenblatt_85"/>
      <sheetName val="Datenblatt_95"/>
      <sheetName val="Datenblatt_105"/>
      <sheetName val="Datenblatt_119"/>
      <sheetName val="Datenblatt_125"/>
      <sheetName val="Datenblatt_135"/>
      <sheetName val="Datenblatt_145"/>
      <sheetName val="Datenblatt_155"/>
      <sheetName val="Datenblatt_165"/>
      <sheetName val="Datenblatt_175"/>
      <sheetName val="Datenblatt_185"/>
      <sheetName val="Datenblatt_195"/>
      <sheetName val="Datenblatt_205"/>
      <sheetName val="Datenblatt_215"/>
      <sheetName val="Datenblatt_225"/>
      <sheetName val="Datenblatt_235"/>
      <sheetName val="Datenblatt_245"/>
      <sheetName val="Datenblatt_255"/>
      <sheetName val="SAP_Codes5"/>
      <sheetName val="Datenblatt_116"/>
      <sheetName val="Datenblatt_29"/>
      <sheetName val="Datenblatt_34"/>
      <sheetName val="Datenblatt_44"/>
      <sheetName val="Datenblatt_54"/>
      <sheetName val="Datenblatt_64"/>
      <sheetName val="Datenblatt_74"/>
      <sheetName val="Datenblatt_84"/>
      <sheetName val="Datenblatt_94"/>
      <sheetName val="Datenblatt_104"/>
      <sheetName val="Datenblatt_117"/>
      <sheetName val="Datenblatt_124"/>
      <sheetName val="Datenblatt_134"/>
      <sheetName val="Datenblatt_144"/>
      <sheetName val="Datenblatt_154"/>
      <sheetName val="Datenblatt_164"/>
      <sheetName val="Datenblatt_174"/>
      <sheetName val="Datenblatt_184"/>
      <sheetName val="Datenblatt_194"/>
      <sheetName val="Datenblatt_204"/>
      <sheetName val="Datenblatt_214"/>
      <sheetName val="Datenblatt_224"/>
      <sheetName val="Datenblatt_234"/>
      <sheetName val="Datenblatt_244"/>
      <sheetName val="Datenblatt_254"/>
      <sheetName val="SAP_Codes4"/>
      <sheetName val="Datenblatt_120"/>
      <sheetName val="Datenblatt_216"/>
      <sheetName val="Datenblatt_36"/>
      <sheetName val="Datenblatt_46"/>
      <sheetName val="Datenblatt_56"/>
      <sheetName val="Datenblatt_66"/>
      <sheetName val="Datenblatt_76"/>
      <sheetName val="Datenblatt_86"/>
      <sheetName val="Datenblatt_96"/>
      <sheetName val="Datenblatt_106"/>
      <sheetName val="Datenblatt_1110"/>
      <sheetName val="Datenblatt_126"/>
      <sheetName val="Datenblatt_136"/>
      <sheetName val="Datenblatt_146"/>
      <sheetName val="Datenblatt_156"/>
      <sheetName val="Datenblatt_166"/>
      <sheetName val="Datenblatt_176"/>
      <sheetName val="Datenblatt_186"/>
      <sheetName val="Datenblatt_196"/>
      <sheetName val="Datenblatt_206"/>
      <sheetName val="Datenblatt_217"/>
      <sheetName val="Datenblatt_226"/>
      <sheetName val="Datenblatt_236"/>
      <sheetName val="Datenblatt_246"/>
      <sheetName val="Datenblatt_256"/>
      <sheetName val="SAP_Codes6"/>
      <sheetName val="Datenblatt_129"/>
      <sheetName val="Datenblatt_220"/>
      <sheetName val="Datenblatt_38"/>
      <sheetName val="Datenblatt_48"/>
      <sheetName val="Datenblatt_58"/>
      <sheetName val="Datenblatt_68"/>
      <sheetName val="Datenblatt_78"/>
      <sheetName val="Datenblatt_88"/>
      <sheetName val="Datenblatt_98"/>
      <sheetName val="Datenblatt_108"/>
      <sheetName val="Datenblatt_1112"/>
      <sheetName val="Datenblatt_1210"/>
      <sheetName val="Datenblatt_138"/>
      <sheetName val="Datenblatt_148"/>
      <sheetName val="Datenblatt_158"/>
      <sheetName val="Datenblatt_168"/>
      <sheetName val="Datenblatt_178"/>
      <sheetName val="Datenblatt_188"/>
      <sheetName val="Datenblatt_198"/>
      <sheetName val="Datenblatt_208"/>
      <sheetName val="Datenblatt_2110"/>
      <sheetName val="Datenblatt_228"/>
      <sheetName val="Datenblatt_238"/>
      <sheetName val="Datenblatt_248"/>
      <sheetName val="Datenblatt_258"/>
      <sheetName val="SAP_Codes8"/>
      <sheetName val="Datenblatt_160"/>
      <sheetName val="Datenblatt_250"/>
      <sheetName val="Datenblatt_312"/>
      <sheetName val="Datenblatt_412"/>
      <sheetName val="Datenblatt_512"/>
      <sheetName val="Datenblatt_612"/>
      <sheetName val="Datenblatt_712"/>
      <sheetName val="Datenblatt_812"/>
      <sheetName val="Datenblatt_912"/>
      <sheetName val="Datenblatt_1012"/>
      <sheetName val="Datenblatt_1116"/>
      <sheetName val="Datenblatt_1214"/>
      <sheetName val="Datenblatt_1312"/>
      <sheetName val="Datenblatt_1412"/>
      <sheetName val="Datenblatt_1512"/>
      <sheetName val="Datenblatt_1612"/>
      <sheetName val="Datenblatt_1712"/>
      <sheetName val="Datenblatt_1812"/>
      <sheetName val="Datenblatt_1912"/>
      <sheetName val="Datenblatt_2012"/>
      <sheetName val="Datenblatt_2114"/>
      <sheetName val="Datenblatt_2213"/>
      <sheetName val="Datenblatt_2312"/>
      <sheetName val="Datenblatt_2412"/>
      <sheetName val="Datenblatt_2512"/>
      <sheetName val="SAP_Codes12"/>
      <sheetName val="Datenblatt_140"/>
      <sheetName val="Datenblatt_230"/>
      <sheetName val="Datenblatt_310"/>
      <sheetName val="Datenblatt_410"/>
      <sheetName val="Datenblatt_510"/>
      <sheetName val="Datenblatt_610"/>
      <sheetName val="Datenblatt_710"/>
      <sheetName val="Datenblatt_810"/>
      <sheetName val="Datenblatt_910"/>
      <sheetName val="Datenblatt_1010"/>
      <sheetName val="Datenblatt_1114"/>
      <sheetName val="Datenblatt_1212"/>
      <sheetName val="Datenblatt_1310"/>
      <sheetName val="Datenblatt_1410"/>
      <sheetName val="Datenblatt_1510"/>
      <sheetName val="Datenblatt_1610"/>
      <sheetName val="Datenblatt_1710"/>
      <sheetName val="Datenblatt_1810"/>
      <sheetName val="Datenblatt_1910"/>
      <sheetName val="Datenblatt_2010"/>
      <sheetName val="Datenblatt_2112"/>
      <sheetName val="Datenblatt_2211"/>
      <sheetName val="Datenblatt_2310"/>
      <sheetName val="Datenblatt_2410"/>
      <sheetName val="Datenblatt_2510"/>
      <sheetName val="SAP_Codes10"/>
      <sheetName val="Datenblatt_130"/>
      <sheetName val="Datenblatt_229"/>
      <sheetName val="Datenblatt_39"/>
      <sheetName val="Datenblatt_49"/>
      <sheetName val="Datenblatt_59"/>
      <sheetName val="Datenblatt_69"/>
      <sheetName val="Datenblatt_79"/>
      <sheetName val="Datenblatt_89"/>
      <sheetName val="Datenblatt_99"/>
      <sheetName val="Datenblatt_109"/>
      <sheetName val="Datenblatt_1113"/>
      <sheetName val="Datenblatt_1211"/>
      <sheetName val="Datenblatt_139"/>
      <sheetName val="Datenblatt_149"/>
      <sheetName val="Datenblatt_159"/>
      <sheetName val="Datenblatt_169"/>
      <sheetName val="Datenblatt_179"/>
      <sheetName val="Datenblatt_189"/>
      <sheetName val="Datenblatt_199"/>
      <sheetName val="Datenblatt_209"/>
      <sheetName val="Datenblatt_2111"/>
      <sheetName val="Datenblatt_2210"/>
      <sheetName val="Datenblatt_239"/>
      <sheetName val="Datenblatt_249"/>
      <sheetName val="Datenblatt_259"/>
      <sheetName val="SAP_Codes9"/>
      <sheetName val="Datenblatt_150"/>
      <sheetName val="Datenblatt_240"/>
      <sheetName val="Datenblatt_311"/>
      <sheetName val="Datenblatt_411"/>
      <sheetName val="Datenblatt_511"/>
      <sheetName val="Datenblatt_611"/>
      <sheetName val="Datenblatt_711"/>
      <sheetName val="Datenblatt_811"/>
      <sheetName val="Datenblatt_911"/>
      <sheetName val="Datenblatt_1011"/>
      <sheetName val="Datenblatt_1115"/>
      <sheetName val="Datenblatt_1213"/>
      <sheetName val="Datenblatt_1311"/>
      <sheetName val="Datenblatt_1411"/>
      <sheetName val="Datenblatt_1511"/>
      <sheetName val="Datenblatt_1611"/>
      <sheetName val="Datenblatt_1711"/>
      <sheetName val="Datenblatt_1811"/>
      <sheetName val="Datenblatt_1911"/>
      <sheetName val="Datenblatt_2011"/>
      <sheetName val="Datenblatt_2113"/>
      <sheetName val="Datenblatt_2212"/>
      <sheetName val="Datenblatt_2311"/>
      <sheetName val="Datenblatt_2411"/>
      <sheetName val="Datenblatt_2511"/>
      <sheetName val="SAP_Codes11"/>
      <sheetName val="Datenblatt_170"/>
      <sheetName val="Datenblatt_260"/>
      <sheetName val="Datenblatt_313"/>
      <sheetName val="Datenblatt_413"/>
      <sheetName val="Datenblatt_513"/>
      <sheetName val="Datenblatt_613"/>
      <sheetName val="Datenblatt_713"/>
      <sheetName val="Datenblatt_813"/>
      <sheetName val="Datenblatt_913"/>
      <sheetName val="Datenblatt_1013"/>
      <sheetName val="Datenblatt_1117"/>
      <sheetName val="Datenblatt_1215"/>
      <sheetName val="Datenblatt_1313"/>
      <sheetName val="Datenblatt_1413"/>
      <sheetName val="Datenblatt_1513"/>
      <sheetName val="Datenblatt_1613"/>
      <sheetName val="Datenblatt_1713"/>
      <sheetName val="Datenblatt_1813"/>
      <sheetName val="Datenblatt_1913"/>
      <sheetName val="Datenblatt_2013"/>
      <sheetName val="Datenblatt_2115"/>
      <sheetName val="Datenblatt_2214"/>
      <sheetName val="Datenblatt_2313"/>
      <sheetName val="Datenblatt_2413"/>
      <sheetName val="Datenblatt_2513"/>
      <sheetName val="SAP_Codes13"/>
      <sheetName val="Datenblatt_180"/>
      <sheetName val="Datenblatt_261"/>
      <sheetName val="Datenblatt_314"/>
      <sheetName val="Datenblatt_414"/>
      <sheetName val="Datenblatt_514"/>
      <sheetName val="Datenblatt_614"/>
      <sheetName val="Datenblatt_714"/>
      <sheetName val="Datenblatt_814"/>
      <sheetName val="Datenblatt_914"/>
      <sheetName val="Datenblatt_1014"/>
      <sheetName val="Datenblatt_1118"/>
      <sheetName val="Datenblatt_1216"/>
      <sheetName val="Datenblatt_1314"/>
      <sheetName val="Datenblatt_1414"/>
      <sheetName val="Datenblatt_1514"/>
      <sheetName val="Datenblatt_1614"/>
      <sheetName val="Datenblatt_1714"/>
      <sheetName val="Datenblatt_1814"/>
      <sheetName val="Datenblatt_1914"/>
      <sheetName val="Datenblatt_2014"/>
      <sheetName val="Datenblatt_2116"/>
      <sheetName val="Datenblatt_2215"/>
      <sheetName val="Datenblatt_2314"/>
      <sheetName val="Datenblatt_2414"/>
      <sheetName val="Datenblatt_2514"/>
      <sheetName val="SAP_Codes14"/>
      <sheetName val="Datenblatt_190"/>
      <sheetName val="Datenblatt_262"/>
      <sheetName val="Datenblatt_315"/>
      <sheetName val="Datenblatt_415"/>
      <sheetName val="Datenblatt_515"/>
      <sheetName val="Datenblatt_615"/>
      <sheetName val="Datenblatt_715"/>
      <sheetName val="Datenblatt_815"/>
      <sheetName val="Datenblatt_915"/>
      <sheetName val="Datenblatt_1015"/>
      <sheetName val="Datenblatt_1119"/>
      <sheetName val="Datenblatt_1217"/>
      <sheetName val="Datenblatt_1315"/>
      <sheetName val="Datenblatt_1415"/>
      <sheetName val="Datenblatt_1515"/>
      <sheetName val="Datenblatt_1615"/>
      <sheetName val="Datenblatt_1715"/>
      <sheetName val="Datenblatt_1815"/>
      <sheetName val="Datenblatt_1915"/>
      <sheetName val="Datenblatt_2015"/>
      <sheetName val="Datenblatt_2117"/>
      <sheetName val="Datenblatt_2216"/>
      <sheetName val="Datenblatt_2315"/>
      <sheetName val="Datenblatt_2415"/>
      <sheetName val="Datenblatt_2515"/>
      <sheetName val="SAP_Codes1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 refreshError="1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</sheetDataSet>
  </externalBook>
</externalLink>
</file>

<file path=xl/theme/theme1.xml><?xml version="1.0" encoding="utf-8"?>
<a:theme xmlns:a="http://schemas.openxmlformats.org/drawingml/2006/main" name="Motív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yes"?><Relationships xmlns="http://schemas.openxmlformats.org/package/2006/relationships"><Relationship Id="rId1" Target="mailto:hafida.mesbahi@awsm.ma" TargetMode="External" Type="http://schemas.openxmlformats.org/officeDocument/2006/relationships/hyperlink"/><Relationship Id="rId2" Target="../printerSettings/printerSettings2.bin" Type="http://schemas.openxmlformats.org/officeDocument/2006/relationships/printerSettings"/><Relationship Id="rId3" Target="../drawings/drawing1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4.xml.rels><?xml version="1.0" encoding="UTF-8" standalone="yes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3.xml" Type="http://schemas.openxmlformats.org/officeDocument/2006/relationships/drawing"/></Relationships>
</file>

<file path=xl/worksheets/_rels/sheet5.xml.rels><?xml version="1.0" encoding="UTF-8" standalone="yes"?><Relationships xmlns="http://schemas.openxmlformats.org/package/2006/relationships"><Relationship Id="rId1" Target="../printerSettings/printerSettings5.bin" Type="http://schemas.openxmlformats.org/officeDocument/2006/relationships/printerSettings"/><Relationship Id="rId2" Target="../drawings/drawing4.xml" Type="http://schemas.openxmlformats.org/officeDocument/2006/relationships/drawing"/></Relationships>
</file>

<file path=xl/worksheets/_rels/sheet6.xml.rels><?xml version="1.0" encoding="UTF-8" standalone="yes"?><Relationships xmlns="http://schemas.openxmlformats.org/package/2006/relationships"><Relationship Id="rId1" Target="../printerSettings/printerSettings6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7.xml.rels><?xml version="1.0" encoding="UTF-8" standalone="yes"?><Relationships xmlns="http://schemas.openxmlformats.org/package/2006/relationships"><Relationship Id="rId1" Target="../printerSettings/printerSettings7.bin" Type="http://schemas.openxmlformats.org/officeDocument/2006/relationships/printerSettings"/><Relationship Id="rId2" Target="../drawings/drawing6.xml" Type="http://schemas.openxmlformats.org/officeDocument/2006/relationships/drawing"/></Relationships>
</file>

<file path=xl/worksheets/_rels/sheet8.xml.rels><?xml version="1.0" encoding="UTF-8" standalone="yes"?><Relationships xmlns="http://schemas.openxmlformats.org/package/2006/relationships"><Relationship Id="rId1" Target="../printerSettings/printerSettings8.bin" Type="http://schemas.openxmlformats.org/officeDocument/2006/relationships/printerSettings"/><Relationship Id="rId2" Target="../drawings/drawing7.xml" Type="http://schemas.openxmlformats.org/officeDocument/2006/relationships/drawing"/></Relationships>
</file>

<file path=xl/worksheets/_rels/sheet9.xml.rels><?xml version="1.0" encoding="UTF-8" standalone="yes"?><Relationships xmlns="http://schemas.openxmlformats.org/package/2006/relationships"><Relationship Id="rId1" Target="../printerSettings/printerSettings9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10.xml.rels><?xml version="1.0" encoding="UTF-8" standalone="yes"?><Relationships xmlns="http://schemas.openxmlformats.org/package/2006/relationships"><Relationship Id="rId1" Target="../printerSettings/printerSettings10.bin" Type="http://schemas.openxmlformats.org/officeDocument/2006/relationships/printerSettings"/><Relationship Id="rId2" Target="../drawings/drawing9.xml" Type="http://schemas.openxmlformats.org/officeDocument/2006/relationships/drawing"/></Relationships>
</file>

<file path=xl/worksheets/_rels/sheet11.xml.rels><?xml version="1.0" encoding="UTF-8" standalone="yes"?><Relationships xmlns="http://schemas.openxmlformats.org/package/2006/relationships"><Relationship Id="rId1" Target="../printerSettings/printerSettings11.bin" Type="http://schemas.openxmlformats.org/officeDocument/2006/relationships/printerSettings"/><Relationship Id="rId2" Target="../drawings/drawing10.xml" Type="http://schemas.openxmlformats.org/officeDocument/2006/relationships/drawing"/></Relationships>
</file>

<file path=xl/worksheets/_rels/sheet12.xml.rels><?xml version="1.0" encoding="UTF-8" standalone="yes"?><Relationships xmlns="http://schemas.openxmlformats.org/package/2006/relationships"><Relationship Id="rId1" Target="../printerSettings/printerSettings12.bin" Type="http://schemas.openxmlformats.org/officeDocument/2006/relationships/printerSettings"/><Relationship Id="rId2" Target="../drawings/drawing11.xml" Type="http://schemas.openxmlformats.org/officeDocument/2006/relationships/drawing"/></Relationships>
</file>

<file path=xl/worksheets/_rels/sheet13.xml.rels><?xml version="1.0" encoding="UTF-8" standalone="yes"?><Relationships xmlns="http://schemas.openxmlformats.org/package/2006/relationships"><Relationship Id="rId1" Target="../printerSettings/printerSettings13.bin" Type="http://schemas.openxmlformats.org/officeDocument/2006/relationships/printerSettings"/><Relationship Id="rId2" Target="../drawings/drawing12.xml" Type="http://schemas.openxmlformats.org/officeDocument/2006/relationships/drawing"/></Relationships>
</file>

<file path=xl/worksheets/_rels/sheet14.xml.rels><?xml version="1.0" encoding="UTF-8" standalone="yes"?><Relationships xmlns="http://schemas.openxmlformats.org/package/2006/relationships"><Relationship Id="rId1" Target="../printerSettings/printerSettings14.bin" Type="http://schemas.openxmlformats.org/officeDocument/2006/relationships/printerSettings"/><Relationship Id="rId2" Target="../drawings/drawing13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árok1"/>
  <dimension ref="A1:X42"/>
  <sheetViews>
    <sheetView showGridLines="0" zoomScale="75" zoomScaleNormal="100" zoomScaleSheetLayoutView="100" workbookViewId="0">
      <selection activeCell="B3" sqref="B3"/>
    </sheetView>
  </sheetViews>
  <sheetFormatPr baseColWidth="10" defaultColWidth="11.44140625" defaultRowHeight="13.2"/>
  <cols>
    <col min="1" max="1" customWidth="true" style="30" width="25.33203125"/>
    <col min="2" max="2" customWidth="true" style="159" width="25.33203125"/>
    <col min="3" max="3" bestFit="true" customWidth="true" style="30" width="16.88671875"/>
    <col min="4" max="8" customWidth="true" style="30" width="4.0"/>
    <col min="9" max="9" bestFit="true" customWidth="true" style="30" width="6.33203125"/>
    <col min="10" max="12" customWidth="true" style="30" width="4.0"/>
    <col min="13" max="13" customWidth="true" style="30" width="7.88671875"/>
    <col min="14" max="14" customWidth="true" style="30" width="6.88671875"/>
    <col min="15" max="15" customWidth="true" style="30" width="7.88671875"/>
    <col min="16" max="16" customWidth="true" style="30" width="5.109375"/>
    <col min="17" max="17" bestFit="true" customWidth="true" style="30" width="10.6640625"/>
    <col min="18" max="19" customWidth="true" style="30" width="17.33203125"/>
    <col min="20" max="20" bestFit="true" customWidth="true" style="30" width="13.109375"/>
    <col min="21" max="21" customWidth="true" style="30" width="16.33203125"/>
    <col min="22" max="22" bestFit="true" customWidth="true" style="30" width="7.88671875"/>
    <col min="23" max="23" customWidth="true" style="30" width="7.0"/>
    <col min="24" max="24" bestFit="true" customWidth="true" style="30" width="8.33203125"/>
    <col min="25" max="16384" style="30" width="11.44140625"/>
  </cols>
  <sheetData>
    <row r="1" spans="1:24" ht="15.75" customHeight="1">
      <c r="A1" s="385" t="s">
        <v>0</v>
      </c>
      <c r="B1" s="386" t="s">
        <v>1</v>
      </c>
      <c r="D1" s="394" t="s">
        <v>2</v>
      </c>
      <c r="E1" s="395"/>
      <c r="F1" s="395"/>
      <c r="G1" s="385"/>
      <c r="H1" s="388" t="s">
        <v>3</v>
      </c>
      <c r="I1" s="389"/>
      <c r="J1" s="389"/>
      <c r="K1" s="389"/>
      <c r="L1" s="390"/>
      <c r="M1" s="70"/>
      <c r="N1" s="71"/>
      <c r="O1" s="71"/>
      <c r="P1" s="376" t="s">
        <v>4</v>
      </c>
      <c r="Q1" s="377"/>
      <c r="R1" s="378"/>
      <c r="S1" s="72"/>
    </row>
    <row r="2" spans="1:24" ht="14.4" thickBot="1">
      <c r="A2" s="385"/>
      <c r="B2" s="387"/>
      <c r="D2" s="396"/>
      <c r="E2" s="397"/>
      <c r="F2" s="397"/>
      <c r="G2" s="398"/>
      <c r="H2" s="391"/>
      <c r="I2" s="392"/>
      <c r="J2" s="392"/>
      <c r="K2" s="392"/>
      <c r="L2" s="393"/>
      <c r="M2" s="73"/>
      <c r="N2" s="74"/>
      <c r="O2" s="74"/>
      <c r="P2" s="379"/>
      <c r="Q2" s="380"/>
      <c r="R2" s="381"/>
      <c r="S2" s="72"/>
      <c r="U2" s="75" t="s">
        <v>5</v>
      </c>
      <c r="V2" s="76" t="s">
        <v>6</v>
      </c>
      <c r="W2" s="76" t="s">
        <v>7</v>
      </c>
      <c r="X2" s="76" t="s">
        <v>8</v>
      </c>
    </row>
    <row r="3" spans="1:24" ht="15" customHeight="1" thickBot="1">
      <c r="A3" s="77" t="s">
        <v>9</v>
      </c>
      <c r="B3" s="148" t="s">
        <v>10</v>
      </c>
      <c r="C3" s="399" t="s">
        <v>11</v>
      </c>
      <c r="D3" s="401" t="s">
        <v>12</v>
      </c>
      <c r="E3" s="402"/>
      <c r="F3" s="402"/>
      <c r="G3" s="402"/>
      <c r="H3" s="402"/>
      <c r="I3" s="402"/>
      <c r="J3" s="402"/>
      <c r="K3" s="402"/>
      <c r="L3" s="403"/>
      <c r="M3" s="374" t="s">
        <v>13</v>
      </c>
      <c r="N3" s="374" t="s">
        <v>5</v>
      </c>
      <c r="O3" s="382" t="s">
        <v>14</v>
      </c>
      <c r="P3" s="78" t="s">
        <v>14</v>
      </c>
      <c r="Q3" s="79" t="s">
        <v>15</v>
      </c>
      <c r="R3" s="80" t="s">
        <v>16</v>
      </c>
      <c r="S3" s="81"/>
      <c r="T3" s="82" t="s">
        <v>17</v>
      </c>
      <c r="U3" s="83"/>
      <c r="V3" s="84">
        <v>0</v>
      </c>
      <c r="W3" s="85">
        <v>0</v>
      </c>
      <c r="X3" s="86">
        <v>0</v>
      </c>
    </row>
    <row r="4" spans="1:24" ht="15.75" customHeight="1" thickTop="1" thickBot="1">
      <c r="A4" s="87" t="s">
        <v>18</v>
      </c>
      <c r="B4" s="149"/>
      <c r="C4" s="400"/>
      <c r="D4" s="88" t="s">
        <v>19</v>
      </c>
      <c r="E4" s="89" t="s">
        <v>20</v>
      </c>
      <c r="F4" s="89" t="s">
        <v>21</v>
      </c>
      <c r="G4" s="89" t="s">
        <v>22</v>
      </c>
      <c r="H4" s="90" t="s">
        <v>23</v>
      </c>
      <c r="I4" s="88">
        <v>100</v>
      </c>
      <c r="J4" s="89">
        <v>75</v>
      </c>
      <c r="K4" s="89">
        <v>50</v>
      </c>
      <c r="L4" s="91">
        <v>25</v>
      </c>
      <c r="M4" s="375"/>
      <c r="N4" s="384"/>
      <c r="O4" s="383"/>
      <c r="P4" s="194"/>
      <c r="Q4" s="195"/>
      <c r="R4" s="196"/>
      <c r="S4" s="81"/>
      <c r="T4" s="92" t="s">
        <v>24</v>
      </c>
      <c r="U4" s="93"/>
      <c r="V4" s="94">
        <v>0</v>
      </c>
      <c r="W4" s="94">
        <v>0</v>
      </c>
      <c r="X4" s="94">
        <v>0</v>
      </c>
    </row>
    <row r="5" spans="1:24" s="31" customFormat="1" ht="24" customHeight="1" thickBot="1">
      <c r="A5" s="161" t="s">
        <v>25</v>
      </c>
      <c r="B5" s="162">
        <v>38159</v>
      </c>
      <c r="C5" s="163"/>
      <c r="D5" s="164"/>
      <c r="E5" s="165"/>
      <c r="F5" s="165"/>
      <c r="G5" s="165"/>
      <c r="H5" s="166">
        <f t="shared" ref="H5:H26" si="0">SUM(D5:G5)</f>
        <v>0</v>
      </c>
      <c r="I5" s="165"/>
      <c r="J5" s="165"/>
      <c r="K5" s="165"/>
      <c r="L5" s="165"/>
      <c r="M5" s="167"/>
      <c r="N5" s="168">
        <f t="shared" ref="N5:N26" si="1">SUMPRODUCT(I5:L5,$I$4:$L$4)*M5</f>
        <v>0</v>
      </c>
      <c r="O5" s="169"/>
      <c r="P5" s="197">
        <v>2</v>
      </c>
      <c r="Q5" s="198" t="s">
        <v>26</v>
      </c>
      <c r="R5" s="95" t="s">
        <v>27</v>
      </c>
      <c r="S5" s="171"/>
      <c r="T5" s="172" t="s">
        <v>28</v>
      </c>
      <c r="U5" s="173"/>
      <c r="V5" s="174">
        <v>0</v>
      </c>
      <c r="W5" s="175">
        <v>0</v>
      </c>
      <c r="X5" s="176">
        <v>0</v>
      </c>
    </row>
    <row r="6" spans="1:24" s="31" customFormat="1" ht="24" customHeight="1" thickBot="1">
      <c r="A6" s="161" t="s">
        <v>29</v>
      </c>
      <c r="B6" s="162">
        <v>38159</v>
      </c>
      <c r="C6" s="163"/>
      <c r="D6" s="164"/>
      <c r="E6" s="165"/>
      <c r="F6" s="165"/>
      <c r="G6" s="165"/>
      <c r="H6" s="166">
        <f t="shared" si="0"/>
        <v>0</v>
      </c>
      <c r="I6" s="165"/>
      <c r="J6" s="165"/>
      <c r="K6" s="165"/>
      <c r="L6" s="165"/>
      <c r="M6" s="167"/>
      <c r="N6" s="168">
        <f t="shared" si="1"/>
        <v>0</v>
      </c>
      <c r="O6" s="169"/>
      <c r="P6" s="197">
        <v>1.9</v>
      </c>
      <c r="Q6" s="198" t="s">
        <v>30</v>
      </c>
      <c r="R6" s="95"/>
      <c r="S6" s="171"/>
      <c r="T6" s="177" t="s">
        <v>31</v>
      </c>
      <c r="U6" s="173"/>
      <c r="V6" s="176">
        <v>0</v>
      </c>
      <c r="W6" s="176">
        <v>0</v>
      </c>
      <c r="X6" s="176">
        <v>0</v>
      </c>
    </row>
    <row r="7" spans="1:24" s="31" customFormat="1" ht="24" customHeight="1" thickBot="1">
      <c r="A7" s="161" t="s">
        <v>32</v>
      </c>
      <c r="B7" s="162">
        <v>38183</v>
      </c>
      <c r="C7" s="163"/>
      <c r="D7" s="164"/>
      <c r="E7" s="165"/>
      <c r="F7" s="165"/>
      <c r="G7" s="165"/>
      <c r="H7" s="166">
        <f t="shared" si="0"/>
        <v>0</v>
      </c>
      <c r="I7" s="165"/>
      <c r="J7" s="165"/>
      <c r="K7" s="165"/>
      <c r="L7" s="165"/>
      <c r="M7" s="167"/>
      <c r="N7" s="168">
        <f t="shared" si="1"/>
        <v>0</v>
      </c>
      <c r="O7" s="169"/>
      <c r="P7" s="197">
        <v>1.8</v>
      </c>
      <c r="Q7" s="198" t="s">
        <v>33</v>
      </c>
      <c r="R7" s="95"/>
      <c r="S7" s="171"/>
      <c r="T7" s="178" t="s">
        <v>34</v>
      </c>
      <c r="U7" s="173"/>
      <c r="V7" s="176">
        <v>0</v>
      </c>
      <c r="W7" s="176">
        <v>0</v>
      </c>
      <c r="X7" s="176">
        <v>0</v>
      </c>
    </row>
    <row r="8" spans="1:24" s="31" customFormat="1" ht="24" customHeight="1" thickBot="1">
      <c r="A8" s="161" t="s">
        <v>35</v>
      </c>
      <c r="B8" s="162">
        <v>38183</v>
      </c>
      <c r="C8" s="163"/>
      <c r="D8" s="164"/>
      <c r="E8" s="165"/>
      <c r="F8" s="165"/>
      <c r="G8" s="165"/>
      <c r="H8" s="166">
        <f t="shared" si="0"/>
        <v>0</v>
      </c>
      <c r="I8" s="165"/>
      <c r="J8" s="165"/>
      <c r="K8" s="165"/>
      <c r="L8" s="165"/>
      <c r="M8" s="167"/>
      <c r="N8" s="168">
        <f t="shared" si="1"/>
        <v>0</v>
      </c>
      <c r="O8" s="169"/>
      <c r="P8" s="197">
        <v>1.7</v>
      </c>
      <c r="Q8" s="198" t="s">
        <v>36</v>
      </c>
      <c r="R8" s="95"/>
      <c r="S8" s="171"/>
      <c r="T8" s="179" t="s">
        <v>37</v>
      </c>
      <c r="U8" s="180"/>
      <c r="V8" s="181">
        <v>0</v>
      </c>
      <c r="W8" s="182">
        <v>0</v>
      </c>
      <c r="X8" s="183">
        <v>0</v>
      </c>
    </row>
    <row r="9" spans="1:24" s="31" customFormat="1" ht="24" customHeight="1" thickBot="1">
      <c r="A9" s="161" t="s">
        <v>38</v>
      </c>
      <c r="B9" s="162"/>
      <c r="C9" s="163"/>
      <c r="D9" s="164"/>
      <c r="E9" s="165"/>
      <c r="F9" s="165"/>
      <c r="G9" s="165"/>
      <c r="H9" s="166">
        <f t="shared" si="0"/>
        <v>0</v>
      </c>
      <c r="I9" s="165"/>
      <c r="J9" s="165"/>
      <c r="K9" s="165"/>
      <c r="L9" s="165"/>
      <c r="M9" s="167"/>
      <c r="N9" s="168">
        <f t="shared" si="1"/>
        <v>0</v>
      </c>
      <c r="O9" s="169"/>
      <c r="P9" s="197">
        <v>1.6</v>
      </c>
      <c r="Q9" s="198" t="s">
        <v>39</v>
      </c>
      <c r="R9" s="95"/>
      <c r="S9" s="171"/>
      <c r="T9" s="172" t="s">
        <v>24</v>
      </c>
      <c r="U9" s="173"/>
      <c r="V9" s="176">
        <v>0</v>
      </c>
      <c r="W9" s="176">
        <v>0</v>
      </c>
      <c r="X9" s="176">
        <v>0</v>
      </c>
    </row>
    <row r="10" spans="1:24" s="31" customFormat="1" ht="24" customHeight="1" thickBot="1">
      <c r="A10" s="161" t="s">
        <v>40</v>
      </c>
      <c r="B10" s="162"/>
      <c r="C10" s="163"/>
      <c r="D10" s="164"/>
      <c r="E10" s="165"/>
      <c r="F10" s="165"/>
      <c r="G10" s="165"/>
      <c r="H10" s="166">
        <f t="shared" si="0"/>
        <v>0</v>
      </c>
      <c r="I10" s="165"/>
      <c r="J10" s="165"/>
      <c r="K10" s="165"/>
      <c r="L10" s="165"/>
      <c r="M10" s="167"/>
      <c r="N10" s="168">
        <f t="shared" si="1"/>
        <v>0</v>
      </c>
      <c r="O10" s="169"/>
      <c r="P10" s="197">
        <v>1.5</v>
      </c>
      <c r="Q10" s="198" t="s">
        <v>41</v>
      </c>
      <c r="R10" s="95"/>
      <c r="S10" s="171"/>
      <c r="T10" s="172" t="s">
        <v>28</v>
      </c>
      <c r="U10" s="173"/>
      <c r="V10" s="174">
        <v>0</v>
      </c>
      <c r="W10" s="175">
        <v>0</v>
      </c>
      <c r="X10" s="176">
        <v>0</v>
      </c>
    </row>
    <row r="11" spans="1:24" s="31" customFormat="1" ht="24" customHeight="1" thickBot="1">
      <c r="A11" s="161" t="s">
        <v>42</v>
      </c>
      <c r="B11" s="162"/>
      <c r="C11" s="163"/>
      <c r="D11" s="164"/>
      <c r="E11" s="165"/>
      <c r="F11" s="165"/>
      <c r="G11" s="165"/>
      <c r="H11" s="166">
        <f t="shared" si="0"/>
        <v>0</v>
      </c>
      <c r="I11" s="165"/>
      <c r="J11" s="165"/>
      <c r="K11" s="165"/>
      <c r="L11" s="165"/>
      <c r="M11" s="167"/>
      <c r="N11" s="168">
        <f t="shared" si="1"/>
        <v>0</v>
      </c>
      <c r="O11" s="169"/>
      <c r="P11" s="197">
        <v>1.4</v>
      </c>
      <c r="Q11" s="198" t="s">
        <v>43</v>
      </c>
      <c r="R11" s="95"/>
      <c r="S11" s="171"/>
      <c r="T11" s="177" t="s">
        <v>31</v>
      </c>
      <c r="U11" s="173"/>
      <c r="V11" s="176">
        <v>0</v>
      </c>
      <c r="W11" s="176">
        <v>0</v>
      </c>
      <c r="X11" s="176">
        <v>0</v>
      </c>
    </row>
    <row r="12" spans="1:24" s="31" customFormat="1" ht="24" customHeight="1" thickBot="1">
      <c r="A12" s="161" t="s">
        <v>44</v>
      </c>
      <c r="B12" s="162"/>
      <c r="C12" s="163"/>
      <c r="D12" s="164"/>
      <c r="E12" s="165"/>
      <c r="F12" s="165"/>
      <c r="G12" s="165"/>
      <c r="H12" s="166">
        <f t="shared" si="0"/>
        <v>0</v>
      </c>
      <c r="I12" s="165"/>
      <c r="J12" s="165"/>
      <c r="K12" s="165"/>
      <c r="L12" s="165"/>
      <c r="M12" s="167"/>
      <c r="N12" s="168">
        <f t="shared" si="1"/>
        <v>0</v>
      </c>
      <c r="O12" s="169"/>
      <c r="P12" s="197">
        <v>1.3</v>
      </c>
      <c r="Q12" s="198" t="s">
        <v>45</v>
      </c>
      <c r="R12" s="95"/>
      <c r="S12" s="171"/>
      <c r="T12" s="178" t="s">
        <v>34</v>
      </c>
      <c r="U12" s="173"/>
      <c r="V12" s="176">
        <v>0</v>
      </c>
      <c r="W12" s="176">
        <v>0</v>
      </c>
      <c r="X12" s="176">
        <v>0</v>
      </c>
    </row>
    <row r="13" spans="1:24" s="31" customFormat="1" ht="24" customHeight="1" thickBot="1">
      <c r="A13" s="161" t="s">
        <v>46</v>
      </c>
      <c r="B13" s="162"/>
      <c r="C13" s="163"/>
      <c r="D13" s="164"/>
      <c r="E13" s="165"/>
      <c r="F13" s="165"/>
      <c r="G13" s="165"/>
      <c r="H13" s="166">
        <f t="shared" si="0"/>
        <v>0</v>
      </c>
      <c r="I13" s="165"/>
      <c r="J13" s="165"/>
      <c r="K13" s="165"/>
      <c r="L13" s="165"/>
      <c r="M13" s="167"/>
      <c r="N13" s="168">
        <f t="shared" si="1"/>
        <v>0</v>
      </c>
      <c r="O13" s="169"/>
      <c r="P13" s="197">
        <v>1.2</v>
      </c>
      <c r="Q13" s="198" t="s">
        <v>47</v>
      </c>
      <c r="R13" s="95"/>
      <c r="S13" s="171"/>
      <c r="T13" s="184" t="s">
        <v>48</v>
      </c>
      <c r="U13" s="180"/>
      <c r="V13" s="181"/>
      <c r="W13" s="181"/>
      <c r="X13" s="182"/>
    </row>
    <row r="14" spans="1:24" s="31" customFormat="1" ht="24" customHeight="1" thickBot="1">
      <c r="A14" s="161" t="s">
        <v>49</v>
      </c>
      <c r="B14" s="162"/>
      <c r="C14" s="163"/>
      <c r="D14" s="164"/>
      <c r="E14" s="165"/>
      <c r="F14" s="165"/>
      <c r="G14" s="165"/>
      <c r="H14" s="166">
        <f t="shared" si="0"/>
        <v>0</v>
      </c>
      <c r="I14" s="165"/>
      <c r="J14" s="165"/>
      <c r="K14" s="165"/>
      <c r="L14" s="165"/>
      <c r="M14" s="167"/>
      <c r="N14" s="168">
        <f t="shared" si="1"/>
        <v>0</v>
      </c>
      <c r="O14" s="169"/>
      <c r="P14" s="197">
        <v>1.1000000000000001</v>
      </c>
      <c r="Q14" s="198" t="s">
        <v>50</v>
      </c>
      <c r="R14" s="95"/>
      <c r="S14" s="171"/>
      <c r="T14" s="172" t="s">
        <v>24</v>
      </c>
      <c r="U14" s="185"/>
      <c r="V14" s="175">
        <v>0</v>
      </c>
      <c r="W14" s="176">
        <v>0</v>
      </c>
      <c r="X14" s="176">
        <v>0</v>
      </c>
    </row>
    <row r="15" spans="1:24" s="31" customFormat="1" ht="24" customHeight="1" thickBot="1">
      <c r="A15" s="161" t="s">
        <v>51</v>
      </c>
      <c r="B15" s="162"/>
      <c r="C15" s="163"/>
      <c r="D15" s="164"/>
      <c r="E15" s="165"/>
      <c r="F15" s="165"/>
      <c r="G15" s="165"/>
      <c r="H15" s="166">
        <f t="shared" si="0"/>
        <v>0</v>
      </c>
      <c r="I15" s="165"/>
      <c r="J15" s="165"/>
      <c r="K15" s="165"/>
      <c r="L15" s="165"/>
      <c r="M15" s="167"/>
      <c r="N15" s="168">
        <f t="shared" si="1"/>
        <v>0</v>
      </c>
      <c r="O15" s="169"/>
      <c r="P15" s="197">
        <v>1</v>
      </c>
      <c r="Q15" s="198" t="s">
        <v>52</v>
      </c>
      <c r="R15" s="95" t="s">
        <v>53</v>
      </c>
      <c r="S15" s="171"/>
      <c r="T15" s="172" t="s">
        <v>28</v>
      </c>
      <c r="U15" s="185"/>
      <c r="V15" s="174" t="s">
        <v>54</v>
      </c>
      <c r="W15" s="174" t="s">
        <v>54</v>
      </c>
      <c r="X15" s="186" t="s">
        <v>54</v>
      </c>
    </row>
    <row r="16" spans="1:24" s="31" customFormat="1" ht="24" customHeight="1" thickBot="1">
      <c r="A16" s="161" t="s">
        <v>55</v>
      </c>
      <c r="B16" s="162"/>
      <c r="C16" s="163"/>
      <c r="D16" s="164"/>
      <c r="E16" s="165"/>
      <c r="F16" s="165"/>
      <c r="G16" s="165"/>
      <c r="H16" s="166">
        <f t="shared" si="0"/>
        <v>0</v>
      </c>
      <c r="I16" s="165"/>
      <c r="J16" s="165"/>
      <c r="K16" s="165"/>
      <c r="L16" s="165"/>
      <c r="M16" s="167"/>
      <c r="N16" s="168">
        <f t="shared" si="1"/>
        <v>0</v>
      </c>
      <c r="O16" s="169"/>
      <c r="P16" s="197">
        <v>0.9</v>
      </c>
      <c r="Q16" s="198" t="s">
        <v>56</v>
      </c>
      <c r="R16" s="95"/>
      <c r="S16" s="171"/>
      <c r="T16" s="177" t="s">
        <v>31</v>
      </c>
      <c r="U16" s="185"/>
      <c r="V16" s="175">
        <v>0</v>
      </c>
      <c r="W16" s="176">
        <v>0</v>
      </c>
      <c r="X16" s="176">
        <v>0</v>
      </c>
    </row>
    <row r="17" spans="1:24" s="31" customFormat="1" ht="24" customHeight="1" thickBot="1">
      <c r="A17" s="161" t="s">
        <v>57</v>
      </c>
      <c r="B17" s="162"/>
      <c r="C17" s="163"/>
      <c r="D17" s="164"/>
      <c r="E17" s="165"/>
      <c r="F17" s="165"/>
      <c r="G17" s="165"/>
      <c r="H17" s="166">
        <f t="shared" si="0"/>
        <v>0</v>
      </c>
      <c r="I17" s="165"/>
      <c r="J17" s="165"/>
      <c r="K17" s="165"/>
      <c r="L17" s="165"/>
      <c r="M17" s="167"/>
      <c r="N17" s="168">
        <f t="shared" si="1"/>
        <v>0</v>
      </c>
      <c r="O17" s="169"/>
      <c r="P17" s="197">
        <v>0.8</v>
      </c>
      <c r="Q17" s="198" t="s">
        <v>58</v>
      </c>
      <c r="R17" s="95"/>
      <c r="S17" s="171"/>
      <c r="T17" s="177" t="s">
        <v>34</v>
      </c>
      <c r="U17" s="185"/>
      <c r="V17" s="187">
        <v>0</v>
      </c>
      <c r="W17" s="188">
        <v>0</v>
      </c>
      <c r="X17" s="188">
        <v>0</v>
      </c>
    </row>
    <row r="18" spans="1:24" s="31" customFormat="1" ht="24" customHeight="1" thickBot="1">
      <c r="A18" s="161" t="s">
        <v>59</v>
      </c>
      <c r="B18" s="162"/>
      <c r="C18" s="163"/>
      <c r="D18" s="164"/>
      <c r="E18" s="165"/>
      <c r="F18" s="165"/>
      <c r="G18" s="165"/>
      <c r="H18" s="166">
        <f t="shared" si="0"/>
        <v>0</v>
      </c>
      <c r="I18" s="165"/>
      <c r="J18" s="165"/>
      <c r="K18" s="165"/>
      <c r="L18" s="165"/>
      <c r="M18" s="167"/>
      <c r="N18" s="168">
        <f t="shared" si="1"/>
        <v>0</v>
      </c>
      <c r="O18" s="169"/>
      <c r="P18" s="197">
        <v>0.7</v>
      </c>
      <c r="Q18" s="198" t="s">
        <v>60</v>
      </c>
      <c r="R18" s="95"/>
      <c r="S18" s="171"/>
      <c r="T18" s="184" t="s">
        <v>61</v>
      </c>
      <c r="U18" s="189"/>
      <c r="V18" s="181">
        <v>0</v>
      </c>
      <c r="W18" s="182">
        <v>0</v>
      </c>
      <c r="X18" s="183">
        <v>0</v>
      </c>
    </row>
    <row r="19" spans="1:24" s="31" customFormat="1" ht="24" customHeight="1" thickBot="1">
      <c r="A19" s="161" t="s">
        <v>62</v>
      </c>
      <c r="B19" s="162"/>
      <c r="C19" s="163"/>
      <c r="D19" s="164"/>
      <c r="E19" s="165"/>
      <c r="F19" s="165"/>
      <c r="G19" s="165"/>
      <c r="H19" s="166">
        <f t="shared" si="0"/>
        <v>0</v>
      </c>
      <c r="I19" s="165"/>
      <c r="J19" s="165"/>
      <c r="K19" s="165"/>
      <c r="L19" s="165"/>
      <c r="M19" s="167"/>
      <c r="N19" s="168">
        <f t="shared" si="1"/>
        <v>0</v>
      </c>
      <c r="O19" s="169"/>
      <c r="P19" s="197">
        <v>0.6</v>
      </c>
      <c r="Q19" s="198" t="s">
        <v>63</v>
      </c>
      <c r="R19" s="95"/>
      <c r="S19" s="171"/>
      <c r="T19" s="172" t="s">
        <v>24</v>
      </c>
      <c r="U19" s="185"/>
      <c r="V19" s="175">
        <v>0</v>
      </c>
      <c r="W19" s="176">
        <v>0</v>
      </c>
      <c r="X19" s="176">
        <v>0</v>
      </c>
    </row>
    <row r="20" spans="1:24" s="31" customFormat="1" ht="24" customHeight="1" thickBot="1">
      <c r="A20" s="161" t="s">
        <v>64</v>
      </c>
      <c r="B20" s="162"/>
      <c r="C20" s="163"/>
      <c r="D20" s="164"/>
      <c r="E20" s="165"/>
      <c r="F20" s="165"/>
      <c r="G20" s="165"/>
      <c r="H20" s="166">
        <f t="shared" si="0"/>
        <v>0</v>
      </c>
      <c r="I20" s="165"/>
      <c r="J20" s="165"/>
      <c r="K20" s="165"/>
      <c r="L20" s="165"/>
      <c r="M20" s="167"/>
      <c r="N20" s="168">
        <f t="shared" si="1"/>
        <v>0</v>
      </c>
      <c r="O20" s="169"/>
      <c r="P20" s="197">
        <v>0.5</v>
      </c>
      <c r="Q20" s="198" t="s">
        <v>65</v>
      </c>
      <c r="R20" s="95" t="s">
        <v>66</v>
      </c>
      <c r="S20" s="171"/>
      <c r="T20" s="172" t="s">
        <v>28</v>
      </c>
      <c r="U20" s="185"/>
      <c r="V20" s="174" t="s">
        <v>54</v>
      </c>
      <c r="W20" s="174" t="s">
        <v>54</v>
      </c>
      <c r="X20" s="186" t="s">
        <v>54</v>
      </c>
    </row>
    <row r="21" spans="1:24" s="31" customFormat="1" ht="24" customHeight="1" thickBot="1">
      <c r="A21" s="161" t="s">
        <v>67</v>
      </c>
      <c r="B21" s="162"/>
      <c r="C21" s="163"/>
      <c r="D21" s="164"/>
      <c r="E21" s="165"/>
      <c r="F21" s="165"/>
      <c r="G21" s="165"/>
      <c r="H21" s="166">
        <f t="shared" si="0"/>
        <v>0</v>
      </c>
      <c r="I21" s="165"/>
      <c r="J21" s="165"/>
      <c r="K21" s="165"/>
      <c r="L21" s="165"/>
      <c r="M21" s="167"/>
      <c r="N21" s="168">
        <f>SUMPRODUCT(I21:L21,$I$4:$L$4)*M21</f>
        <v>0</v>
      </c>
      <c r="O21" s="169"/>
      <c r="P21" s="197">
        <v>0.4</v>
      </c>
      <c r="Q21" s="198" t="s">
        <v>68</v>
      </c>
      <c r="R21" s="95"/>
      <c r="S21" s="171"/>
      <c r="T21" s="177" t="s">
        <v>31</v>
      </c>
      <c r="U21" s="190"/>
      <c r="V21" s="175">
        <v>0</v>
      </c>
      <c r="W21" s="176">
        <v>0</v>
      </c>
      <c r="X21" s="176">
        <v>0</v>
      </c>
    </row>
    <row r="22" spans="1:24" s="31" customFormat="1" ht="24" customHeight="1" thickBot="1">
      <c r="A22" s="161" t="s">
        <v>69</v>
      </c>
      <c r="B22" s="162"/>
      <c r="C22" s="163"/>
      <c r="D22" s="164"/>
      <c r="E22" s="165"/>
      <c r="F22" s="165"/>
      <c r="G22" s="165"/>
      <c r="H22" s="166">
        <f t="shared" si="0"/>
        <v>0</v>
      </c>
      <c r="I22" s="165"/>
      <c r="J22" s="165"/>
      <c r="K22" s="165"/>
      <c r="L22" s="165"/>
      <c r="M22" s="167"/>
      <c r="N22" s="168">
        <f t="shared" si="1"/>
        <v>0</v>
      </c>
      <c r="O22" s="169"/>
      <c r="P22" s="197">
        <v>0.3</v>
      </c>
      <c r="Q22" s="198" t="s">
        <v>70</v>
      </c>
      <c r="R22" s="95"/>
      <c r="S22" s="171"/>
      <c r="T22" s="178" t="s">
        <v>34</v>
      </c>
      <c r="U22" s="191"/>
      <c r="V22" s="187">
        <v>0</v>
      </c>
      <c r="W22" s="188">
        <v>0</v>
      </c>
      <c r="X22" s="188">
        <v>0</v>
      </c>
    </row>
    <row r="23" spans="1:24" s="31" customFormat="1" ht="24" customHeight="1" thickBot="1">
      <c r="A23" s="161" t="s">
        <v>71</v>
      </c>
      <c r="B23" s="162"/>
      <c r="C23" s="163"/>
      <c r="D23" s="164"/>
      <c r="E23" s="165"/>
      <c r="F23" s="165"/>
      <c r="G23" s="165"/>
      <c r="H23" s="166">
        <f t="shared" si="0"/>
        <v>0</v>
      </c>
      <c r="I23" s="165"/>
      <c r="J23" s="165"/>
      <c r="K23" s="165"/>
      <c r="L23" s="165"/>
      <c r="M23" s="167"/>
      <c r="N23" s="168">
        <f t="shared" si="1"/>
        <v>0</v>
      </c>
      <c r="O23" s="169"/>
      <c r="P23" s="197">
        <v>0.2</v>
      </c>
      <c r="Q23" s="198" t="s">
        <v>72</v>
      </c>
      <c r="R23" s="95"/>
      <c r="S23" s="171"/>
      <c r="T23" s="184" t="s">
        <v>73</v>
      </c>
      <c r="U23" s="189"/>
      <c r="V23" s="181">
        <v>0</v>
      </c>
      <c r="W23" s="182">
        <v>0</v>
      </c>
      <c r="X23" s="183">
        <v>0</v>
      </c>
    </row>
    <row r="24" spans="1:24" s="31" customFormat="1" ht="24" customHeight="1" thickBot="1">
      <c r="A24" s="161" t="s">
        <v>74</v>
      </c>
      <c r="B24" s="162"/>
      <c r="C24" s="163"/>
      <c r="D24" s="164"/>
      <c r="E24" s="165"/>
      <c r="F24" s="165"/>
      <c r="G24" s="165"/>
      <c r="H24" s="166">
        <f t="shared" si="0"/>
        <v>0</v>
      </c>
      <c r="I24" s="165"/>
      <c r="J24" s="165"/>
      <c r="K24" s="165"/>
      <c r="L24" s="165"/>
      <c r="M24" s="167"/>
      <c r="N24" s="168">
        <f t="shared" si="1"/>
        <v>0</v>
      </c>
      <c r="O24" s="169"/>
      <c r="P24" s="197">
        <v>0.1</v>
      </c>
      <c r="Q24" s="198" t="s">
        <v>75</v>
      </c>
      <c r="R24" s="95" t="s">
        <v>76</v>
      </c>
      <c r="S24" s="171"/>
      <c r="T24" s="172" t="s">
        <v>24</v>
      </c>
      <c r="U24" s="185"/>
      <c r="V24" s="175">
        <v>0</v>
      </c>
      <c r="W24" s="176">
        <v>0</v>
      </c>
      <c r="X24" s="176">
        <v>0</v>
      </c>
    </row>
    <row r="25" spans="1:24" s="31" customFormat="1" ht="24" customHeight="1" thickBot="1">
      <c r="A25" s="161" t="s">
        <v>77</v>
      </c>
      <c r="B25" s="162"/>
      <c r="C25" s="163"/>
      <c r="D25" s="164"/>
      <c r="E25" s="165"/>
      <c r="F25" s="165"/>
      <c r="G25" s="165"/>
      <c r="H25" s="166">
        <f t="shared" si="0"/>
        <v>0</v>
      </c>
      <c r="I25" s="165"/>
      <c r="J25" s="165"/>
      <c r="K25" s="165"/>
      <c r="L25" s="165"/>
      <c r="M25" s="167"/>
      <c r="N25" s="168">
        <f t="shared" si="1"/>
        <v>0</v>
      </c>
      <c r="O25" s="169"/>
      <c r="P25" s="199">
        <v>0</v>
      </c>
      <c r="Q25" s="200" t="s">
        <v>78</v>
      </c>
      <c r="R25" s="201" t="s">
        <v>79</v>
      </c>
      <c r="S25" s="171"/>
      <c r="T25" s="172" t="s">
        <v>28</v>
      </c>
      <c r="U25" s="185"/>
      <c r="V25" s="174" t="s">
        <v>54</v>
      </c>
      <c r="W25" s="174" t="s">
        <v>54</v>
      </c>
      <c r="X25" s="186" t="s">
        <v>54</v>
      </c>
    </row>
    <row r="26" spans="1:24" s="31" customFormat="1" ht="24" customHeight="1" thickBot="1">
      <c r="A26" s="161" t="s">
        <v>80</v>
      </c>
      <c r="B26" s="162"/>
      <c r="C26" s="163"/>
      <c r="D26" s="164"/>
      <c r="E26" s="165"/>
      <c r="F26" s="165"/>
      <c r="G26" s="165"/>
      <c r="H26" s="166">
        <f t="shared" si="0"/>
        <v>0</v>
      </c>
      <c r="I26" s="165"/>
      <c r="J26" s="165"/>
      <c r="K26" s="165"/>
      <c r="L26" s="165"/>
      <c r="M26" s="167"/>
      <c r="N26" s="168">
        <f t="shared" si="1"/>
        <v>0</v>
      </c>
      <c r="O26" s="169"/>
      <c r="P26" s="192"/>
      <c r="Q26" s="193"/>
      <c r="R26" s="170"/>
      <c r="S26" s="171"/>
      <c r="T26" s="177" t="s">
        <v>31</v>
      </c>
      <c r="U26" s="190"/>
      <c r="V26" s="175">
        <v>0</v>
      </c>
      <c r="W26" s="176">
        <v>0</v>
      </c>
      <c r="X26" s="176">
        <v>0</v>
      </c>
    </row>
    <row r="27" spans="1:24" ht="15" thickTop="1" thickBot="1">
      <c r="A27" s="109"/>
      <c r="B27" s="150"/>
      <c r="C27" s="160" t="s">
        <v>81</v>
      </c>
      <c r="D27" s="110">
        <f>SUM(D5:D26)</f>
        <v>0</v>
      </c>
      <c r="E27" s="110">
        <f t="shared" ref="E27:L27" si="2">SUM(E5:E26)</f>
        <v>0</v>
      </c>
      <c r="F27" s="110">
        <f t="shared" si="2"/>
        <v>0</v>
      </c>
      <c r="G27" s="110">
        <f t="shared" si="2"/>
        <v>0</v>
      </c>
      <c r="H27" s="147"/>
      <c r="I27" s="110">
        <f t="shared" si="2"/>
        <v>0</v>
      </c>
      <c r="J27" s="110">
        <f t="shared" si="2"/>
        <v>0</v>
      </c>
      <c r="K27" s="110">
        <f t="shared" si="2"/>
        <v>0</v>
      </c>
      <c r="L27" s="110">
        <f t="shared" si="2"/>
        <v>0</v>
      </c>
      <c r="M27" s="109"/>
      <c r="N27" s="109"/>
      <c r="O27" s="111"/>
      <c r="P27" s="112" t="s">
        <v>82</v>
      </c>
      <c r="Q27" s="113"/>
      <c r="R27" s="114"/>
      <c r="S27" s="81"/>
      <c r="T27" s="96" t="s">
        <v>34</v>
      </c>
      <c r="U27" s="99"/>
      <c r="V27" s="97">
        <v>0</v>
      </c>
      <c r="W27" s="98">
        <v>0</v>
      </c>
      <c r="X27" s="98">
        <v>0</v>
      </c>
    </row>
    <row r="28" spans="1:24" ht="14.4" thickTop="1" thickBot="1">
      <c r="A28" s="115" t="s">
        <v>83</v>
      </c>
      <c r="B28" s="151"/>
      <c r="C28" s="116">
        <v>17</v>
      </c>
      <c r="D28" s="406" t="s">
        <v>84</v>
      </c>
      <c r="E28" s="407"/>
      <c r="F28" s="407"/>
      <c r="G28" s="407"/>
      <c r="H28" s="407"/>
      <c r="I28" s="407"/>
      <c r="J28" s="407"/>
      <c r="K28" s="407"/>
      <c r="L28" s="408"/>
      <c r="M28" s="409">
        <v>0</v>
      </c>
      <c r="N28" s="410"/>
      <c r="O28" s="411"/>
      <c r="P28" s="117" t="s">
        <v>85</v>
      </c>
      <c r="Q28" s="118"/>
      <c r="R28" s="119" t="s">
        <v>86</v>
      </c>
      <c r="S28" s="81"/>
      <c r="V28" s="84">
        <v>0</v>
      </c>
      <c r="W28" s="85">
        <v>0</v>
      </c>
      <c r="X28" s="86">
        <v>0</v>
      </c>
    </row>
    <row r="29" spans="1:24" ht="31.8" thickTop="1" thickBot="1">
      <c r="A29" s="120" t="s">
        <v>87</v>
      </c>
      <c r="B29" s="152"/>
      <c r="C29" s="121" t="s">
        <v>88</v>
      </c>
      <c r="D29" s="414" t="s">
        <v>89</v>
      </c>
      <c r="E29" s="414"/>
      <c r="F29" s="414"/>
      <c r="G29" s="415"/>
      <c r="H29" s="71"/>
      <c r="I29" s="122"/>
      <c r="J29" s="123" t="s">
        <v>14</v>
      </c>
      <c r="K29" s="124" t="s">
        <v>6</v>
      </c>
      <c r="L29" s="124" t="s">
        <v>90</v>
      </c>
      <c r="M29" s="125" t="s">
        <v>91</v>
      </c>
      <c r="N29" s="126" t="s">
        <v>53</v>
      </c>
      <c r="O29" s="412" t="s">
        <v>92</v>
      </c>
      <c r="P29" s="127" t="s">
        <v>93</v>
      </c>
      <c r="Q29" s="118"/>
      <c r="R29" s="119" t="s">
        <v>94</v>
      </c>
      <c r="S29" s="81"/>
    </row>
    <row r="30" spans="1:24" ht="14.4" thickBot="1">
      <c r="A30" s="128" t="s">
        <v>95</v>
      </c>
      <c r="B30" s="153"/>
      <c r="C30" s="129" t="e">
        <f>SUM(N5:N26/C28)</f>
        <v>#VALUE!</v>
      </c>
      <c r="D30" s="416">
        <v>0</v>
      </c>
      <c r="E30" s="416"/>
      <c r="F30" s="416"/>
      <c r="G30" s="417"/>
      <c r="H30" s="71"/>
      <c r="I30" s="130" t="s">
        <v>96</v>
      </c>
      <c r="J30" s="131"/>
      <c r="K30" s="131"/>
      <c r="L30" s="131"/>
      <c r="M30" s="132">
        <v>0.5</v>
      </c>
      <c r="N30" s="133">
        <v>1</v>
      </c>
      <c r="O30" s="412"/>
      <c r="P30" s="100"/>
      <c r="Q30" s="101"/>
      <c r="R30" s="95"/>
      <c r="S30" s="81"/>
      <c r="T30" s="102" t="s">
        <v>97</v>
      </c>
      <c r="U30" s="103">
        <f>SUM(U3:U27)/4</f>
        <v>0</v>
      </c>
      <c r="V30" s="104"/>
      <c r="W30" s="105"/>
      <c r="X30" s="106"/>
    </row>
    <row r="31" spans="1:24" ht="13.8">
      <c r="A31" s="128" t="s">
        <v>98</v>
      </c>
      <c r="B31" s="153"/>
      <c r="C31" s="134">
        <v>0</v>
      </c>
      <c r="D31" s="418">
        <v>0</v>
      </c>
      <c r="E31" s="418"/>
      <c r="F31" s="418"/>
      <c r="G31" s="419"/>
      <c r="H31" s="71"/>
      <c r="I31" s="130" t="s">
        <v>99</v>
      </c>
      <c r="J31" s="131"/>
      <c r="K31" s="131"/>
      <c r="L31" s="131"/>
      <c r="M31" s="132">
        <v>0.5</v>
      </c>
      <c r="N31" s="133">
        <v>1</v>
      </c>
      <c r="O31" s="412"/>
      <c r="P31" s="100"/>
      <c r="Q31" s="101"/>
      <c r="R31" s="95"/>
      <c r="S31" s="81"/>
    </row>
    <row r="32" spans="1:24" ht="13.8">
      <c r="A32" s="128" t="s">
        <v>14</v>
      </c>
      <c r="B32" s="153"/>
      <c r="C32" s="134">
        <v>0</v>
      </c>
      <c r="D32" s="418">
        <v>0</v>
      </c>
      <c r="E32" s="418"/>
      <c r="F32" s="418"/>
      <c r="G32" s="419"/>
      <c r="H32" s="71"/>
      <c r="I32" s="130" t="s">
        <v>100</v>
      </c>
      <c r="J32" s="131"/>
      <c r="K32" s="131"/>
      <c r="L32" s="131"/>
      <c r="M32" s="132">
        <v>0.5</v>
      </c>
      <c r="N32" s="133">
        <v>1</v>
      </c>
      <c r="O32" s="412"/>
      <c r="P32" s="100"/>
      <c r="Q32" s="101"/>
      <c r="R32" s="95"/>
      <c r="S32" s="81"/>
    </row>
    <row r="33" spans="1:23" ht="14.4" thickBot="1">
      <c r="A33" s="137" t="s">
        <v>90</v>
      </c>
      <c r="B33" s="154"/>
      <c r="C33" s="134">
        <v>0</v>
      </c>
      <c r="D33" s="404">
        <v>0</v>
      </c>
      <c r="E33" s="404"/>
      <c r="F33" s="404"/>
      <c r="G33" s="405"/>
      <c r="H33" s="71"/>
      <c r="I33" s="130" t="s">
        <v>101</v>
      </c>
      <c r="J33" s="131"/>
      <c r="K33" s="131"/>
      <c r="L33" s="131"/>
      <c r="M33" s="132">
        <v>0.5</v>
      </c>
      <c r="N33" s="133">
        <v>1</v>
      </c>
      <c r="O33" s="412"/>
      <c r="P33" s="100"/>
      <c r="Q33" s="101"/>
      <c r="R33" s="95"/>
      <c r="S33" s="81"/>
      <c r="U33" s="107"/>
    </row>
    <row r="34" spans="1:23" ht="13.8" thickTop="1">
      <c r="A34" s="113"/>
      <c r="B34" s="155"/>
      <c r="C34" s="113"/>
      <c r="D34" s="113"/>
      <c r="E34" s="113"/>
      <c r="F34" s="113"/>
      <c r="G34" s="114"/>
      <c r="H34" s="71"/>
      <c r="I34" s="130" t="s">
        <v>102</v>
      </c>
      <c r="J34" s="131"/>
      <c r="K34" s="131"/>
      <c r="L34" s="131"/>
      <c r="M34" s="132">
        <v>0.5</v>
      </c>
      <c r="N34" s="133">
        <v>1</v>
      </c>
      <c r="O34" s="412"/>
      <c r="P34" s="100"/>
      <c r="Q34" s="101"/>
      <c r="R34" s="95"/>
      <c r="S34" s="81"/>
      <c r="W34" s="107"/>
    </row>
    <row r="35" spans="1:23" ht="15.6">
      <c r="A35" s="138" t="s">
        <v>103</v>
      </c>
      <c r="B35" s="156"/>
      <c r="C35" s="135"/>
      <c r="D35" s="135"/>
      <c r="E35" s="135"/>
      <c r="F35" s="135"/>
      <c r="G35" s="136"/>
      <c r="H35" s="71"/>
      <c r="I35" s="130" t="s">
        <v>104</v>
      </c>
      <c r="J35" s="131"/>
      <c r="K35" s="131"/>
      <c r="L35" s="131"/>
      <c r="M35" s="132">
        <v>0.5</v>
      </c>
      <c r="N35" s="133">
        <v>1</v>
      </c>
      <c r="O35" s="412"/>
      <c r="P35" s="100"/>
      <c r="Q35" s="101"/>
      <c r="R35" s="95"/>
      <c r="S35" s="81"/>
      <c r="U35" s="107"/>
    </row>
    <row r="36" spans="1:23" ht="15">
      <c r="A36" s="139" t="s">
        <v>105</v>
      </c>
      <c r="B36" s="157"/>
      <c r="C36" s="135"/>
      <c r="D36" s="135"/>
      <c r="E36" s="135"/>
      <c r="F36" s="135"/>
      <c r="G36" s="136"/>
      <c r="H36" s="71"/>
      <c r="I36" s="130" t="s">
        <v>106</v>
      </c>
      <c r="J36" s="131"/>
      <c r="K36" s="131"/>
      <c r="L36" s="131"/>
      <c r="M36" s="132">
        <v>0.5</v>
      </c>
      <c r="N36" s="133">
        <v>1</v>
      </c>
      <c r="O36" s="412"/>
      <c r="P36" s="100"/>
      <c r="Q36" s="101"/>
      <c r="R36" s="95"/>
      <c r="S36" s="81"/>
    </row>
    <row r="37" spans="1:23" ht="15">
      <c r="A37" s="139" t="s">
        <v>107</v>
      </c>
      <c r="B37" s="157"/>
      <c r="C37" s="135"/>
      <c r="D37" s="135"/>
      <c r="E37" s="135"/>
      <c r="F37" s="135"/>
      <c r="G37" s="136"/>
      <c r="H37" s="71"/>
      <c r="I37" s="130" t="s">
        <v>108</v>
      </c>
      <c r="J37" s="131"/>
      <c r="K37" s="131"/>
      <c r="L37" s="131"/>
      <c r="M37" s="132">
        <v>0.5</v>
      </c>
      <c r="N37" s="133">
        <v>1</v>
      </c>
      <c r="O37" s="412"/>
      <c r="P37" s="100"/>
      <c r="Q37" s="101"/>
      <c r="R37" s="95"/>
      <c r="S37" s="81"/>
      <c r="U37" s="107"/>
    </row>
    <row r="38" spans="1:23" ht="15">
      <c r="A38" s="139" t="s">
        <v>109</v>
      </c>
      <c r="B38" s="157"/>
      <c r="C38" s="135"/>
      <c r="D38" s="135"/>
      <c r="E38" s="135"/>
      <c r="F38" s="135"/>
      <c r="G38" s="136"/>
      <c r="H38" s="71"/>
      <c r="I38" s="130" t="s">
        <v>110</v>
      </c>
      <c r="J38" s="131"/>
      <c r="K38" s="131"/>
      <c r="L38" s="131"/>
      <c r="M38" s="132">
        <v>0.5</v>
      </c>
      <c r="N38" s="133">
        <v>1</v>
      </c>
      <c r="O38" s="412"/>
      <c r="P38" s="100"/>
      <c r="Q38" s="101"/>
      <c r="R38" s="95"/>
      <c r="S38" s="81"/>
      <c r="U38" s="107"/>
    </row>
    <row r="39" spans="1:23" ht="15">
      <c r="A39" s="139" t="s">
        <v>111</v>
      </c>
      <c r="B39" s="157"/>
      <c r="C39" s="135"/>
      <c r="D39" s="135"/>
      <c r="E39" s="135"/>
      <c r="F39" s="135"/>
      <c r="G39" s="136"/>
      <c r="H39" s="71"/>
      <c r="I39" s="130" t="s">
        <v>112</v>
      </c>
      <c r="J39" s="131"/>
      <c r="K39" s="131"/>
      <c r="L39" s="131"/>
      <c r="M39" s="132">
        <v>0.5</v>
      </c>
      <c r="N39" s="133">
        <v>1</v>
      </c>
      <c r="O39" s="412"/>
      <c r="P39" s="100"/>
      <c r="Q39" s="101"/>
      <c r="R39" s="95"/>
      <c r="S39" s="81"/>
    </row>
    <row r="40" spans="1:23" ht="15">
      <c r="A40" s="139" t="s">
        <v>113</v>
      </c>
      <c r="B40" s="157"/>
      <c r="C40" s="135"/>
      <c r="D40" s="135"/>
      <c r="E40" s="135"/>
      <c r="F40" s="135"/>
      <c r="G40" s="136"/>
      <c r="H40" s="71"/>
      <c r="I40" s="130" t="s">
        <v>114</v>
      </c>
      <c r="J40" s="131"/>
      <c r="K40" s="131"/>
      <c r="L40" s="131"/>
      <c r="M40" s="132">
        <v>0.5</v>
      </c>
      <c r="N40" s="133">
        <v>1</v>
      </c>
      <c r="O40" s="412"/>
      <c r="P40" s="100"/>
      <c r="Q40" s="101"/>
      <c r="R40" s="95"/>
      <c r="S40" s="81"/>
      <c r="T40" s="108"/>
    </row>
    <row r="41" spans="1:23" ht="16.2" thickBot="1">
      <c r="A41" s="140"/>
      <c r="B41" s="158"/>
      <c r="C41" s="140"/>
      <c r="D41" s="140"/>
      <c r="E41" s="140"/>
      <c r="F41" s="140"/>
      <c r="G41" s="141"/>
      <c r="H41" s="142"/>
      <c r="I41" s="143" t="s">
        <v>115</v>
      </c>
      <c r="J41" s="144"/>
      <c r="K41" s="144"/>
      <c r="L41" s="144"/>
      <c r="M41" s="145">
        <v>0.5</v>
      </c>
      <c r="N41" s="146">
        <v>1</v>
      </c>
      <c r="O41" s="413"/>
      <c r="P41" s="192"/>
      <c r="Q41" s="193"/>
      <c r="R41" s="170"/>
      <c r="S41" s="81"/>
      <c r="T41" s="108"/>
    </row>
    <row r="42" spans="1:23" ht="14.4" thickTop="1">
      <c r="O42" s="202"/>
      <c r="P42" s="203"/>
      <c r="Q42" s="204"/>
      <c r="R42" s="204"/>
      <c r="S42" s="205"/>
    </row>
  </sheetData>
  <mergeCells count="18">
    <mergeCell ref="D33:G33"/>
    <mergeCell ref="D28:L28"/>
    <mergeCell ref="M28:O28"/>
    <mergeCell ref="O29:O41"/>
    <mergeCell ref="D29:G29"/>
    <mergeCell ref="D30:G30"/>
    <mergeCell ref="D32:G32"/>
    <mergeCell ref="D31:G31"/>
    <mergeCell ref="M3:M4"/>
    <mergeCell ref="P1:R2"/>
    <mergeCell ref="O3:O4"/>
    <mergeCell ref="N3:N4"/>
    <mergeCell ref="A1:A2"/>
    <mergeCell ref="B1:B2"/>
    <mergeCell ref="H1:L2"/>
    <mergeCell ref="D1:G2"/>
    <mergeCell ref="C3:C4"/>
    <mergeCell ref="D3:L3"/>
  </mergeCells>
  <phoneticPr fontId="20" type="noConversion"/>
  <printOptions horizontalCentered="1" verticalCentered="1"/>
  <pageMargins left="0" right="0" top="0.19685039370078741" bottom="0.19685039370078741" header="0.51181102362204722" footer="0.51181102362204722"/>
  <pageSetup paperSize="9" orientation="portrait" horizontalDpi="300" verticalDpi="300" r:id="rId1"/>
  <headerFooter alignWithMargins="0">
    <oddFooter xml:space="preserve"><![CDATA[&L_x000D_&1#&"Arial"&10&K000000 [Internal]&C&A&R&",Normal"&7    ]]>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árok3"/>
  <dimension ref="A1:S58"/>
  <sheetViews>
    <sheetView workbookViewId="0">
      <selection activeCell="U34" sqref="U34"/>
    </sheetView>
  </sheetViews>
  <sheetFormatPr baseColWidth="10" defaultColWidth="11.44140625" defaultRowHeight="13.2"/>
  <cols>
    <col min="1" max="1" customWidth="true" style="39" width="3.109375"/>
    <col min="2" max="2" customWidth="true" style="39" width="14.88671875"/>
    <col min="3" max="3" customWidth="true" style="39" width="9.109375"/>
    <col min="4" max="4" customWidth="true" style="39" width="6.88671875"/>
    <col min="5" max="5" customWidth="true" style="39" width="6.44140625"/>
    <col min="6" max="6" customWidth="true" style="39" width="1.44140625"/>
    <col min="7" max="7" customWidth="true" style="39" width="6.6640625"/>
    <col min="8" max="8" customWidth="true" style="39" width="1.44140625"/>
    <col min="9" max="9" customWidth="true" style="39" width="7.109375"/>
    <col min="10" max="10" customWidth="true" style="39" width="10.5546875"/>
    <col min="11" max="11" customWidth="true" style="39" width="2.33203125"/>
    <col min="12" max="12" customWidth="true" style="39" width="4.33203125"/>
    <col min="13" max="13" customWidth="true" style="39" width="1.6640625"/>
    <col min="14" max="14" customWidth="true" style="39" width="4.0"/>
    <col min="15" max="15" customWidth="true" style="39" width="1.6640625"/>
    <col min="16" max="16" customWidth="true" style="39" width="7.109375"/>
    <col min="17" max="17" customWidth="true" style="39" width="1.6640625"/>
    <col min="18" max="18" customWidth="true" style="39" width="7.5546875"/>
    <col min="19" max="16384" style="39" width="11.44140625"/>
  </cols>
  <sheetData>
    <row r="1" spans="1:19" ht="15" customHeight="1">
      <c r="A1" s="207"/>
      <c r="B1" s="208"/>
      <c r="C1" s="209"/>
      <c r="D1" s="428" t="s">
        <v>116</v>
      </c>
      <c r="E1" s="429"/>
      <c r="F1" s="429"/>
      <c r="G1" s="429"/>
      <c r="H1" s="429"/>
      <c r="I1" s="429"/>
      <c r="J1" s="429"/>
      <c r="K1" s="429"/>
      <c r="L1" s="429"/>
      <c r="M1" s="429"/>
      <c r="N1" s="430"/>
      <c r="O1" s="425" t="s">
        <v>117</v>
      </c>
      <c r="P1" s="426"/>
      <c r="Q1" s="426"/>
      <c r="R1" s="427"/>
    </row>
    <row r="2" spans="1:19" ht="25.5" customHeight="1">
      <c r="A2" s="210"/>
      <c r="B2" s="44"/>
      <c r="C2" s="45"/>
      <c r="D2" s="431" t="s">
        <v>118</v>
      </c>
      <c r="E2" s="432"/>
      <c r="F2" s="432"/>
      <c r="G2" s="432"/>
      <c r="H2" s="432"/>
      <c r="I2" s="432"/>
      <c r="J2" s="432"/>
      <c r="K2" s="432"/>
      <c r="L2" s="432"/>
      <c r="M2" s="432"/>
      <c r="N2" s="433"/>
      <c r="O2" s="423" t="e">
        <f>#REF!</f>
        <v>#REF!</v>
      </c>
      <c r="P2" s="424"/>
      <c r="Q2" s="424"/>
      <c r="R2" s="296"/>
    </row>
    <row r="3" spans="1:19" ht="4.5" customHeight="1">
      <c r="A3" s="41"/>
      <c r="G3" s="47"/>
      <c r="R3" s="42"/>
    </row>
    <row r="4" spans="1:19" ht="5.25" customHeight="1">
      <c r="A4" s="41"/>
      <c r="G4" s="47"/>
      <c r="R4" s="42"/>
    </row>
    <row r="5" spans="1:19">
      <c r="A5" s="41"/>
      <c r="B5" s="39" t="s">
        <v>119</v>
      </c>
      <c r="G5" s="47"/>
      <c r="I5" s="39" t="s">
        <v>120</v>
      </c>
      <c r="L5" s="39" t="s">
        <v>121</v>
      </c>
      <c r="R5" s="42"/>
    </row>
    <row r="6" spans="1:19">
      <c r="A6" s="41"/>
      <c r="B6" s="39" t="s">
        <v>122</v>
      </c>
      <c r="G6" s="47"/>
      <c r="I6" s="48" t="s">
        <v>123</v>
      </c>
      <c r="K6" s="39" t="s">
        <v>124</v>
      </c>
      <c r="L6" s="39" t="s">
        <v>125</v>
      </c>
      <c r="R6" s="42"/>
    </row>
    <row r="7" spans="1:19">
      <c r="A7" s="41"/>
      <c r="B7" s="39" t="s">
        <v>126</v>
      </c>
      <c r="G7" s="47"/>
      <c r="I7" s="48" t="s">
        <v>127</v>
      </c>
      <c r="K7" s="39" t="s">
        <v>124</v>
      </c>
      <c r="L7" s="39" t="s">
        <v>128</v>
      </c>
      <c r="R7" s="42"/>
    </row>
    <row r="8" spans="1:19">
      <c r="A8" s="41"/>
      <c r="B8" s="39" t="s">
        <v>129</v>
      </c>
      <c r="G8" s="47"/>
      <c r="I8" s="48" t="s">
        <v>130</v>
      </c>
      <c r="K8" s="39" t="s">
        <v>124</v>
      </c>
      <c r="R8" s="42"/>
    </row>
    <row r="9" spans="1:19">
      <c r="A9" s="41"/>
      <c r="B9" s="39" t="s">
        <v>131</v>
      </c>
      <c r="G9" s="47"/>
      <c r="I9" s="48" t="s">
        <v>132</v>
      </c>
      <c r="K9" s="39" t="s">
        <v>124</v>
      </c>
      <c r="L9" s="39" t="s">
        <v>133</v>
      </c>
      <c r="M9" s="49"/>
      <c r="R9" s="42"/>
      <c r="S9" s="62"/>
    </row>
    <row r="10" spans="1:19">
      <c r="A10" s="41"/>
      <c r="B10" s="39" t="s">
        <v>134</v>
      </c>
      <c r="G10" s="47"/>
      <c r="I10" s="39" t="s">
        <v>135</v>
      </c>
      <c r="K10" s="39" t="s">
        <v>124</v>
      </c>
      <c r="L10" s="206" t="s">
        <v>136</v>
      </c>
      <c r="R10" s="42"/>
    </row>
    <row r="11" spans="1:19">
      <c r="A11" s="41"/>
      <c r="B11" s="39" t="s">
        <v>137</v>
      </c>
      <c r="G11" s="47"/>
      <c r="R11" s="42"/>
    </row>
    <row r="12" spans="1:19" ht="8.25" customHeight="1">
      <c r="A12" s="50"/>
      <c r="B12" s="51"/>
      <c r="C12" s="51"/>
      <c r="D12" s="51"/>
      <c r="E12" s="51"/>
      <c r="F12" s="51"/>
      <c r="G12" s="52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3"/>
    </row>
    <row r="13" spans="1:19" ht="12" customHeight="1">
      <c r="A13" s="41"/>
      <c r="R13" s="42"/>
    </row>
    <row r="14" spans="1:19" ht="53.25" customHeight="1" thickBot="1">
      <c r="A14" s="41"/>
      <c r="B14" s="435" t="s">
        <v>138</v>
      </c>
      <c r="C14" s="435"/>
      <c r="D14" s="435"/>
      <c r="E14" s="434" t="s">
        <v>139</v>
      </c>
      <c r="F14" s="434"/>
      <c r="G14" s="434"/>
      <c r="H14" s="434"/>
      <c r="I14" s="434"/>
      <c r="J14" s="63" t="str">
        <f>Dateneingabe!B1</f>
        <v>Juli 2005</v>
      </c>
      <c r="K14" s="63"/>
      <c r="L14" s="436" t="s">
        <v>140</v>
      </c>
      <c r="M14" s="436"/>
      <c r="N14" s="436"/>
      <c r="O14" s="39"/>
      <c r="P14" s="39"/>
      <c r="R14" s="42"/>
    </row>
    <row r="15" spans="1:19">
      <c r="A15" s="43"/>
      <c r="B15" s="44"/>
      <c r="C15" s="44"/>
      <c r="D15" s="44"/>
      <c r="E15" s="55" t="s">
        <v>14</v>
      </c>
      <c r="F15" s="44"/>
      <c r="G15" s="46" t="s">
        <v>141</v>
      </c>
      <c r="H15" s="44"/>
      <c r="I15" s="56" t="s">
        <v>142</v>
      </c>
      <c r="J15" s="67"/>
      <c r="K15" s="68"/>
      <c r="L15" s="68"/>
      <c r="M15" s="68"/>
      <c r="N15" s="68"/>
      <c r="O15" s="68"/>
      <c r="P15" s="68"/>
      <c r="Q15" s="68"/>
      <c r="R15" s="69"/>
    </row>
    <row r="16" spans="1:19" ht="6.75" customHeight="1">
      <c r="A16" s="41"/>
      <c r="L16" s="39"/>
      <c r="M16" s="39"/>
      <c r="N16" s="39"/>
      <c r="O16" s="39"/>
      <c r="P16" s="39"/>
      <c r="R16" s="42"/>
    </row>
    <row r="17" spans="1:18" ht="15">
      <c r="A17" s="41"/>
      <c r="B17" s="57"/>
      <c r="E17" s="58"/>
      <c r="F17" s="59"/>
      <c r="G17" s="58"/>
      <c r="H17" s="59"/>
      <c r="I17" s="58"/>
      <c r="J17" s="59"/>
      <c r="K17" s="59"/>
      <c r="L17" s="420"/>
      <c r="M17" s="421"/>
      <c r="N17" s="422"/>
      <c r="O17" s="39"/>
      <c r="P17" s="39"/>
      <c r="R17" s="42"/>
    </row>
    <row r="18" spans="1:18" ht="7.5" customHeight="1">
      <c r="A18" s="41"/>
      <c r="B18" s="57"/>
      <c r="E18" s="59"/>
      <c r="F18" s="59"/>
      <c r="G18" s="59"/>
      <c r="H18" s="59"/>
      <c r="I18" s="59"/>
      <c r="J18" s="59"/>
      <c r="K18" s="59"/>
      <c r="L18" s="39"/>
      <c r="M18" s="39"/>
      <c r="N18" s="39"/>
      <c r="O18" s="39"/>
      <c r="P18" s="39"/>
      <c r="R18" s="42"/>
    </row>
    <row r="19" spans="1:18" ht="15">
      <c r="A19" s="41"/>
      <c r="B19" s="57"/>
      <c r="E19" s="58"/>
      <c r="F19" s="59"/>
      <c r="G19" s="58"/>
      <c r="H19" s="59"/>
      <c r="I19" s="58"/>
      <c r="J19" s="59"/>
      <c r="K19" s="59"/>
      <c r="L19" s="64"/>
      <c r="M19" s="65"/>
      <c r="N19" s="66"/>
      <c r="O19" s="39"/>
      <c r="P19" s="39"/>
      <c r="R19" s="42"/>
    </row>
    <row r="20" spans="1:18" ht="8.25" customHeight="1">
      <c r="A20" s="41"/>
      <c r="B20" s="57"/>
      <c r="E20" s="59"/>
      <c r="F20" s="59"/>
      <c r="G20" s="59"/>
      <c r="H20" s="59"/>
      <c r="I20" s="59"/>
      <c r="J20" s="59"/>
      <c r="K20" s="59"/>
      <c r="L20" s="39"/>
      <c r="M20" s="39"/>
      <c r="N20" s="39"/>
      <c r="O20" s="39"/>
      <c r="P20" s="39"/>
      <c r="R20" s="42"/>
    </row>
    <row r="21" spans="1:18" ht="15">
      <c r="A21" s="41"/>
      <c r="B21" s="57"/>
      <c r="E21" s="58"/>
      <c r="F21" s="59"/>
      <c r="G21" s="58"/>
      <c r="H21" s="59"/>
      <c r="I21" s="58"/>
      <c r="J21" s="59"/>
      <c r="K21" s="59"/>
      <c r="L21" s="64"/>
      <c r="M21" s="65"/>
      <c r="N21" s="66"/>
      <c r="O21" s="39"/>
      <c r="P21" s="39"/>
      <c r="R21" s="42"/>
    </row>
    <row r="22" spans="1:18" ht="6.75" customHeight="1">
      <c r="A22" s="41"/>
      <c r="B22" s="57"/>
      <c r="E22" s="59"/>
      <c r="F22" s="59"/>
      <c r="G22" s="59"/>
      <c r="H22" s="59"/>
      <c r="I22" s="59"/>
      <c r="J22" s="59"/>
      <c r="K22" s="59"/>
      <c r="L22" s="39"/>
      <c r="M22" s="39"/>
      <c r="N22" s="39"/>
      <c r="O22" s="39"/>
      <c r="P22" s="39"/>
      <c r="R22" s="42"/>
    </row>
    <row r="23" spans="1:18" ht="15">
      <c r="A23" s="41"/>
      <c r="B23" s="57"/>
      <c r="E23" s="58"/>
      <c r="F23" s="59"/>
      <c r="G23" s="58"/>
      <c r="H23" s="59"/>
      <c r="I23" s="58"/>
      <c r="J23" s="59"/>
      <c r="K23" s="59"/>
      <c r="L23" s="64"/>
      <c r="M23" s="65"/>
      <c r="N23" s="66"/>
      <c r="O23" s="39"/>
      <c r="P23" s="39"/>
      <c r="R23" s="42"/>
    </row>
    <row r="24" spans="1:18" ht="8.25" customHeight="1">
      <c r="A24" s="41"/>
      <c r="B24" s="57"/>
      <c r="E24" s="59"/>
      <c r="F24" s="59"/>
      <c r="G24" s="59"/>
      <c r="H24" s="59"/>
      <c r="I24" s="59"/>
      <c r="J24" s="59"/>
      <c r="K24" s="59"/>
      <c r="L24" s="39"/>
      <c r="M24" s="39"/>
      <c r="N24" s="39"/>
      <c r="O24" s="39"/>
      <c r="P24" s="39"/>
      <c r="R24" s="42"/>
    </row>
    <row r="25" spans="1:18" ht="15">
      <c r="A25" s="41"/>
      <c r="B25" s="57"/>
      <c r="E25" s="58"/>
      <c r="F25" s="59"/>
      <c r="G25" s="58"/>
      <c r="H25" s="59"/>
      <c r="I25" s="58"/>
      <c r="J25" s="59"/>
      <c r="K25" s="59"/>
      <c r="L25" s="64"/>
      <c r="M25" s="65"/>
      <c r="N25" s="66"/>
      <c r="O25" s="39"/>
      <c r="P25" s="39"/>
      <c r="R25" s="42"/>
    </row>
    <row r="26" spans="1:18" ht="7.5" customHeight="1">
      <c r="A26" s="41"/>
      <c r="B26" s="57"/>
      <c r="E26" s="59"/>
      <c r="F26" s="59"/>
      <c r="G26" s="59"/>
      <c r="H26" s="59"/>
      <c r="I26" s="59"/>
      <c r="J26" s="59"/>
      <c r="K26" s="59"/>
      <c r="L26" s="39"/>
      <c r="M26" s="39"/>
      <c r="N26" s="39"/>
      <c r="O26" s="39"/>
      <c r="P26" s="39"/>
      <c r="R26" s="42"/>
    </row>
    <row r="27" spans="1:18" ht="15">
      <c r="A27" s="41"/>
      <c r="B27" s="57"/>
      <c r="E27" s="58"/>
      <c r="F27" s="59"/>
      <c r="G27" s="58"/>
      <c r="H27" s="59"/>
      <c r="I27" s="58"/>
      <c r="J27" s="59"/>
      <c r="K27" s="59"/>
      <c r="L27" s="64"/>
      <c r="M27" s="65"/>
      <c r="N27" s="66"/>
      <c r="O27" s="39"/>
      <c r="P27" s="39"/>
      <c r="R27" s="42"/>
    </row>
    <row r="28" spans="1:18" ht="7.5" customHeight="1">
      <c r="A28" s="41"/>
      <c r="B28" s="57"/>
      <c r="E28" s="59"/>
      <c r="F28" s="59"/>
      <c r="G28" s="59"/>
      <c r="H28" s="59"/>
      <c r="I28" s="59"/>
      <c r="J28" s="59"/>
      <c r="K28" s="59"/>
      <c r="L28" s="39"/>
      <c r="M28" s="39"/>
      <c r="N28" s="39"/>
      <c r="O28" s="39"/>
      <c r="P28" s="39"/>
      <c r="R28" s="42"/>
    </row>
    <row r="29" spans="1:18" ht="15">
      <c r="A29" s="41"/>
      <c r="B29" s="57"/>
      <c r="E29" s="58"/>
      <c r="F29" s="59"/>
      <c r="G29" s="58"/>
      <c r="H29" s="59"/>
      <c r="I29" s="58"/>
      <c r="J29" s="59"/>
      <c r="K29" s="59"/>
      <c r="L29" s="64"/>
      <c r="M29" s="65"/>
      <c r="N29" s="66"/>
      <c r="O29" s="39"/>
      <c r="P29" s="39"/>
      <c r="R29" s="42"/>
    </row>
    <row r="30" spans="1:18" ht="8.25" customHeight="1">
      <c r="A30" s="41"/>
      <c r="B30" s="57"/>
      <c r="E30" s="59"/>
      <c r="F30" s="59"/>
      <c r="G30" s="59"/>
      <c r="H30" s="59"/>
      <c r="I30" s="59"/>
      <c r="J30" s="59"/>
      <c r="K30" s="59"/>
      <c r="L30" s="39"/>
      <c r="M30" s="39"/>
      <c r="N30" s="39"/>
      <c r="O30" s="39"/>
      <c r="P30" s="39"/>
      <c r="R30" s="42"/>
    </row>
    <row r="31" spans="1:18" ht="15">
      <c r="A31" s="41"/>
      <c r="B31" s="57"/>
      <c r="E31" s="58"/>
      <c r="F31" s="59"/>
      <c r="G31" s="58"/>
      <c r="H31" s="59"/>
      <c r="I31" s="58"/>
      <c r="J31" s="59"/>
      <c r="K31" s="59"/>
      <c r="L31" s="64"/>
      <c r="M31" s="65"/>
      <c r="N31" s="66"/>
      <c r="O31" s="39"/>
      <c r="P31" s="39"/>
      <c r="R31" s="42"/>
    </row>
    <row r="32" spans="1:18" ht="7.5" customHeight="1">
      <c r="A32" s="41"/>
      <c r="B32" s="57"/>
      <c r="E32" s="59"/>
      <c r="F32" s="59"/>
      <c r="G32" s="59"/>
      <c r="H32" s="59"/>
      <c r="I32" s="59"/>
      <c r="J32" s="59"/>
      <c r="K32" s="59"/>
      <c r="L32" s="39"/>
      <c r="M32" s="39"/>
      <c r="N32" s="39"/>
      <c r="O32" s="39"/>
      <c r="P32" s="39"/>
      <c r="R32" s="42"/>
    </row>
    <row r="33" spans="1:18" ht="15">
      <c r="A33" s="41"/>
      <c r="B33" s="57"/>
      <c r="E33" s="58"/>
      <c r="F33" s="59"/>
      <c r="G33" s="58"/>
      <c r="H33" s="59"/>
      <c r="I33" s="58"/>
      <c r="J33" s="59"/>
      <c r="K33" s="59"/>
      <c r="L33" s="64"/>
      <c r="M33" s="65"/>
      <c r="N33" s="66"/>
      <c r="O33" s="39"/>
      <c r="P33" s="39"/>
      <c r="R33" s="42"/>
    </row>
    <row r="34" spans="1:18" ht="7.5" customHeight="1">
      <c r="A34" s="41"/>
      <c r="B34" s="57"/>
      <c r="E34" s="59"/>
      <c r="F34" s="59"/>
      <c r="G34" s="59"/>
      <c r="H34" s="59"/>
      <c r="I34" s="59"/>
      <c r="J34" s="59"/>
      <c r="K34" s="59"/>
      <c r="L34" s="39"/>
      <c r="M34" s="39"/>
      <c r="N34" s="39"/>
      <c r="O34" s="39"/>
      <c r="P34" s="39"/>
      <c r="R34" s="42"/>
    </row>
    <row r="35" spans="1:18" ht="15">
      <c r="A35" s="41"/>
      <c r="B35" s="57"/>
      <c r="E35" s="58"/>
      <c r="F35" s="59"/>
      <c r="G35" s="58"/>
      <c r="H35" s="59"/>
      <c r="I35" s="58"/>
      <c r="J35" s="59"/>
      <c r="K35" s="59"/>
      <c r="L35" s="64"/>
      <c r="M35" s="65"/>
      <c r="N35" s="66"/>
      <c r="O35" s="39"/>
      <c r="P35" s="39"/>
      <c r="R35" s="42"/>
    </row>
    <row r="36" spans="1:18" ht="6.75" customHeight="1">
      <c r="A36" s="41"/>
      <c r="B36" s="57"/>
      <c r="E36" s="59"/>
      <c r="F36" s="59"/>
      <c r="G36" s="59"/>
      <c r="H36" s="59"/>
      <c r="I36" s="59"/>
      <c r="J36" s="59"/>
      <c r="K36" s="59"/>
      <c r="L36" s="39"/>
      <c r="M36" s="39"/>
      <c r="N36" s="39"/>
      <c r="O36" s="39"/>
      <c r="P36" s="39"/>
      <c r="R36" s="42"/>
    </row>
    <row r="37" spans="1:18" ht="15">
      <c r="A37" s="41"/>
      <c r="B37" s="57"/>
      <c r="E37" s="58"/>
      <c r="F37" s="59"/>
      <c r="G37" s="58"/>
      <c r="H37" s="59"/>
      <c r="I37" s="58"/>
      <c r="J37" s="59"/>
      <c r="K37" s="59"/>
      <c r="L37" s="64"/>
      <c r="M37" s="65"/>
      <c r="N37" s="66"/>
      <c r="O37" s="39"/>
      <c r="P37" s="39"/>
      <c r="R37" s="42"/>
    </row>
    <row r="38" spans="1:18">
      <c r="A38" s="41"/>
      <c r="R38" s="42"/>
    </row>
    <row r="39" spans="1:18">
      <c r="A39" s="41"/>
      <c r="R39" s="42"/>
    </row>
    <row r="40" spans="1:18">
      <c r="A40" s="41"/>
      <c r="B40" s="40" t="s">
        <v>143</v>
      </c>
      <c r="R40" s="42"/>
    </row>
    <row r="41" spans="1:18">
      <c r="A41" s="41"/>
      <c r="R41" s="42"/>
    </row>
    <row r="42" spans="1:18">
      <c r="A42" s="41"/>
      <c r="R42" s="42"/>
    </row>
    <row r="43" spans="1:18">
      <c r="A43" s="41"/>
      <c r="R43" s="42"/>
    </row>
    <row r="44" spans="1:18">
      <c r="A44" s="41"/>
      <c r="R44" s="42"/>
    </row>
    <row r="45" spans="1:18">
      <c r="A45" s="41"/>
      <c r="R45" s="42"/>
    </row>
    <row r="46" spans="1:18">
      <c r="A46" s="41"/>
      <c r="R46" s="42"/>
    </row>
    <row r="47" spans="1:18">
      <c r="A47" s="41"/>
      <c r="R47" s="42"/>
    </row>
    <row r="48" spans="1:18">
      <c r="A48" s="41"/>
      <c r="R48" s="42"/>
    </row>
    <row r="49" spans="1:18">
      <c r="A49" s="41"/>
      <c r="R49" s="42"/>
    </row>
    <row r="50" spans="1:18">
      <c r="A50" s="41"/>
      <c r="R50" s="42"/>
    </row>
    <row r="51" spans="1:18">
      <c r="A51" s="41"/>
      <c r="R51" s="42"/>
    </row>
    <row r="52" spans="1:18">
      <c r="A52" s="41"/>
      <c r="R52" s="42"/>
    </row>
    <row r="53" spans="1:18">
      <c r="A53" s="41"/>
      <c r="R53" s="42"/>
    </row>
    <row r="54" spans="1:18">
      <c r="A54" s="41"/>
      <c r="R54" s="42"/>
    </row>
    <row r="55" spans="1:18">
      <c r="A55" s="41"/>
      <c r="R55" s="42"/>
    </row>
    <row r="56" spans="1:18">
      <c r="A56" s="41"/>
      <c r="R56" s="42"/>
    </row>
    <row r="57" spans="1:18">
      <c r="A57" s="41"/>
      <c r="R57" s="42"/>
    </row>
    <row r="58" spans="1:18" ht="13.8" thickBot="1">
      <c r="A58" s="60"/>
      <c r="B58" s="54"/>
      <c r="C58" s="54"/>
      <c r="D58" s="54"/>
      <c r="E58" s="54"/>
      <c r="F58" s="54"/>
      <c r="G58" s="54"/>
      <c r="H58" s="54"/>
      <c r="I58" s="54"/>
      <c r="J58" s="54"/>
      <c r="K58" s="54"/>
      <c r="L58" s="54"/>
      <c r="M58" s="54"/>
      <c r="N58" s="54"/>
      <c r="O58" s="54"/>
      <c r="P58" s="54"/>
      <c r="Q58" s="54"/>
      <c r="R58" s="61"/>
    </row>
  </sheetData>
  <mergeCells count="8">
    <mergeCell ref="L17:N17"/>
    <mergeCell ref="O2:R2"/>
    <mergeCell ref="O1:R1"/>
    <mergeCell ref="D1:N1"/>
    <mergeCell ref="D2:N2"/>
    <mergeCell ref="E14:I14"/>
    <mergeCell ref="B14:D14"/>
    <mergeCell ref="L14:N14"/>
  </mergeCells>
  <phoneticPr fontId="20" type="noConversion"/>
  <hyperlinks>
    <hyperlink ref="L10" r:id="rId1" display="hafida.mesbahi@awsm.ma" xr:uid="{00000000-0004-0000-0100-000000000000}"/>
  </hyperlinks>
  <printOptions horizontalCentered="1" verticalCentered="1"/>
  <pageMargins left="0" right="0" top="0.19685039370078741" bottom="0.19685039370078741" header="0.51181102362204722" footer="0.51181102362204722"/>
  <pageSetup paperSize="9" scale="85" orientation="portrait" horizontalDpi="300" verticalDpi="300" r:id="rId2"/>
  <headerFooter alignWithMargins="0">
    <oddFooter xml:space="preserve"><![CDATA[&L_x000D_&1#&"Arial"&10&K000000 [Internal]&C&A&R&",Normal"&7    ]]></oddFooter>
  </headerFooter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BR164"/>
  <sheetViews>
    <sheetView showGridLines="0" zoomScale="145" zoomScaleNormal="145" zoomScaleSheetLayoutView="115" zoomScalePageLayoutView="85" workbookViewId="0">
      <selection activeCell="J15" sqref="J15:K34"/>
    </sheetView>
  </sheetViews>
  <sheetFormatPr baseColWidth="10" defaultColWidth="11.44140625" defaultRowHeight="12.6"/>
  <cols>
    <col min="1" max="1" customWidth="true" style="2" width="13.33203125"/>
    <col min="2" max="2" customWidth="true" style="2" width="11.5546875"/>
    <col min="3" max="3" customWidth="true" style="2" width="6.33203125"/>
    <col min="4" max="4" customWidth="true" style="4" width="5.5546875"/>
    <col min="5" max="5" customWidth="true" style="4" width="5.6640625"/>
    <col min="6" max="7" customWidth="true" style="2" width="10.6640625"/>
    <col min="8" max="13" customWidth="true" style="2" width="5.5546875"/>
    <col min="14" max="16384" style="2" width="11.44140625"/>
  </cols>
  <sheetData>
    <row r="1" spans="1:70" ht="7.95" customHeight="1">
      <c r="A1" s="325"/>
      <c r="B1" s="326"/>
      <c r="C1" s="331" t="s">
        <v>144</v>
      </c>
      <c r="D1" s="332"/>
      <c r="E1" s="332"/>
      <c r="F1" s="332"/>
      <c r="G1" s="332"/>
      <c r="H1" s="332"/>
      <c r="I1" s="333"/>
      <c r="J1" s="340" t="s">
        <v>192</v>
      </c>
      <c r="K1" s="341"/>
      <c r="L1" s="341"/>
      <c r="M1" s="34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</row>
    <row r="2" spans="1:70" s="30" customFormat="1" ht="15" customHeight="1">
      <c r="A2" s="327"/>
      <c r="B2" s="328"/>
      <c r="C2" s="334"/>
      <c r="D2" s="335"/>
      <c r="E2" s="335"/>
      <c r="F2" s="335"/>
      <c r="G2" s="335"/>
      <c r="H2" s="335"/>
      <c r="I2" s="336"/>
      <c r="J2" s="343"/>
      <c r="K2" s="344"/>
      <c r="L2" s="344"/>
      <c r="M2" s="345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</row>
    <row r="3" spans="1:70" s="30" customFormat="1" ht="17.100000000000001" customHeight="1">
      <c r="A3" s="327"/>
      <c r="B3" s="328"/>
      <c r="C3" s="334"/>
      <c r="D3" s="335"/>
      <c r="E3" s="335"/>
      <c r="F3" s="335"/>
      <c r="G3" s="335"/>
      <c r="H3" s="335"/>
      <c r="I3" s="336"/>
      <c r="J3" s="343"/>
      <c r="K3" s="344"/>
      <c r="L3" s="344"/>
      <c r="M3" s="345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</row>
    <row r="4" spans="1:70" s="30" customFormat="1" ht="14.1" customHeight="1" thickBot="1">
      <c r="A4" s="329"/>
      <c r="B4" s="330"/>
      <c r="C4" s="337"/>
      <c r="D4" s="338"/>
      <c r="E4" s="338"/>
      <c r="F4" s="338"/>
      <c r="G4" s="338"/>
      <c r="H4" s="338"/>
      <c r="I4" s="339"/>
      <c r="J4" s="346"/>
      <c r="K4" s="347"/>
      <c r="L4" s="347"/>
      <c r="M4" s="348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</row>
    <row r="5" spans="1:70" ht="6.75" customHeight="1">
      <c r="A5" s="20"/>
      <c r="B5" s="5"/>
      <c r="C5" s="5"/>
      <c r="D5" s="6"/>
      <c r="E5" s="6"/>
      <c r="F5" s="5"/>
      <c r="G5" s="5"/>
      <c r="H5" s="5"/>
      <c r="I5" s="5"/>
      <c r="J5" s="5"/>
      <c r="K5" s="5"/>
      <c r="L5" s="5"/>
      <c r="M5" s="17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</row>
    <row r="6" spans="1:70" ht="17.399999999999999">
      <c r="A6" s="21"/>
      <c r="B6" s="13"/>
      <c r="C6" s="349" t="s">
        <v>145</v>
      </c>
      <c r="D6" s="349"/>
      <c r="E6" s="349"/>
      <c r="F6" s="349"/>
      <c r="G6" s="349"/>
      <c r="H6" s="349"/>
      <c r="I6" s="349"/>
      <c r="J6" s="258"/>
      <c r="L6" s="13"/>
      <c r="M6" s="18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</row>
    <row r="7" spans="1:70" ht="6" customHeight="1">
      <c r="A7" s="16"/>
      <c r="B7" s="7"/>
      <c r="C7" s="7"/>
      <c r="D7" s="8"/>
      <c r="E7" s="9"/>
      <c r="F7" s="10"/>
      <c r="G7" s="7"/>
      <c r="H7" s="7"/>
      <c r="I7" s="7"/>
      <c r="J7" s="7"/>
      <c r="K7" s="7"/>
      <c r="L7" s="7"/>
      <c r="M7" s="19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</row>
    <row r="8" spans="1:70" ht="12.75" customHeight="1">
      <c r="A8" s="20" t="s">
        <v>146</v>
      </c>
      <c r="B8" s="259"/>
      <c r="C8" s="10"/>
      <c r="D8" s="14"/>
      <c r="F8" s="15" t="s">
        <v>147</v>
      </c>
      <c r="G8" s="5"/>
      <c r="H8" s="5"/>
      <c r="I8" s="5"/>
      <c r="J8" s="10"/>
      <c r="K8" s="11"/>
      <c r="L8" s="12"/>
      <c r="M8" s="17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</row>
    <row r="9" spans="1:70" ht="12.75" customHeight="1">
      <c r="A9" s="21"/>
      <c r="B9" s="259"/>
      <c r="C9" s="10"/>
      <c r="D9" s="14"/>
      <c r="F9" s="15"/>
      <c r="G9" s="5"/>
      <c r="H9" s="5"/>
      <c r="I9" s="5"/>
      <c r="J9" s="10"/>
      <c r="K9" s="11"/>
      <c r="L9" s="12"/>
      <c r="M9" s="17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</row>
    <row r="10" spans="1:70" ht="6.75" customHeight="1" thickBot="1">
      <c r="A10" s="16"/>
      <c r="B10" s="5"/>
      <c r="C10" s="5"/>
      <c r="D10" s="6"/>
      <c r="E10" s="6"/>
      <c r="F10" s="12"/>
      <c r="G10" s="5"/>
      <c r="H10" s="5"/>
      <c r="I10" s="5"/>
      <c r="J10" s="5"/>
      <c r="K10" s="5"/>
      <c r="L10" s="5"/>
      <c r="M10" s="17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</row>
    <row r="11" spans="1:70" ht="12.75" customHeight="1" thickBot="1">
      <c r="A11" s="235" t="s">
        <v>148</v>
      </c>
      <c r="B11" s="236"/>
      <c r="C11" s="237"/>
      <c r="D11" s="350" t="s">
        <v>149</v>
      </c>
      <c r="E11" s="351"/>
      <c r="F11" s="356" t="s">
        <v>150</v>
      </c>
      <c r="G11" s="356" t="s">
        <v>151</v>
      </c>
      <c r="H11" s="359" t="s">
        <v>152</v>
      </c>
      <c r="I11" s="360"/>
      <c r="J11" s="365" t="s">
        <v>153</v>
      </c>
      <c r="K11" s="366"/>
      <c r="L11" s="366"/>
      <c r="M11" s="367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</row>
    <row r="12" spans="1:70" ht="12.75" customHeight="1">
      <c r="A12" s="238" t="s">
        <v>154</v>
      </c>
      <c r="B12" s="239"/>
      <c r="C12" s="240"/>
      <c r="D12" s="352"/>
      <c r="E12" s="353"/>
      <c r="F12" s="357"/>
      <c r="G12" s="357"/>
      <c r="H12" s="361"/>
      <c r="I12" s="362"/>
      <c r="J12" s="359" t="s">
        <v>155</v>
      </c>
      <c r="K12" s="360"/>
      <c r="L12" s="320" t="s">
        <v>156</v>
      </c>
      <c r="M12" s="321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</row>
    <row r="13" spans="1:70" ht="12.75" customHeight="1">
      <c r="A13" s="238" t="s">
        <v>157</v>
      </c>
      <c r="B13" s="239"/>
      <c r="C13" s="240"/>
      <c r="D13" s="352"/>
      <c r="E13" s="353"/>
      <c r="F13" s="357"/>
      <c r="G13" s="357"/>
      <c r="H13" s="361"/>
      <c r="I13" s="362"/>
      <c r="J13" s="368"/>
      <c r="K13" s="369"/>
      <c r="L13" s="322"/>
      <c r="M13" s="323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</row>
    <row r="14" spans="1:70" ht="12.75" customHeight="1">
      <c r="A14" s="241" t="s">
        <v>158</v>
      </c>
      <c r="B14" s="242"/>
      <c r="C14" s="243"/>
      <c r="D14" s="354"/>
      <c r="E14" s="355"/>
      <c r="F14" s="358"/>
      <c r="G14" s="358"/>
      <c r="H14" s="363"/>
      <c r="I14" s="364"/>
      <c r="J14" s="361"/>
      <c r="K14" s="369"/>
      <c r="L14" s="324"/>
      <c r="M14" s="323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</row>
    <row r="15" spans="1:70" ht="12.75" customHeight="1">
      <c r="A15" s="262" t="s">
        <v>182</v>
      </c>
      <c r="B15" s="262"/>
      <c r="C15" s="263"/>
      <c r="D15" s="308">
        <v>0</v>
      </c>
      <c r="E15" s="309"/>
      <c r="F15" s="437">
        <v>0</v>
      </c>
      <c r="G15" s="315">
        <v>0</v>
      </c>
      <c r="H15" s="308">
        <v>1</v>
      </c>
      <c r="I15" s="439"/>
      <c r="J15" s="301" t="s">
        <v>20</v>
      </c>
      <c r="K15" s="439"/>
      <c r="L15" s="268"/>
      <c r="M15" s="269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</row>
    <row r="16" spans="1:70" ht="12.75" customHeight="1">
      <c r="A16" s="264">
        <v>52203916</v>
      </c>
      <c r="B16" s="264" t="s">
        <v>187</v>
      </c>
      <c r="C16" s="265"/>
      <c r="D16" s="310"/>
      <c r="E16" s="311"/>
      <c r="F16" s="372"/>
      <c r="G16" s="298"/>
      <c r="H16" s="303"/>
      <c r="I16" s="440"/>
      <c r="J16" s="303"/>
      <c r="K16" s="440"/>
      <c r="L16" s="270"/>
      <c r="M16" s="271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</row>
    <row r="17" spans="1:70" ht="12.75" customHeight="1">
      <c r="A17" s="275">
        <v>46027</v>
      </c>
      <c r="B17" s="264"/>
      <c r="C17" s="265"/>
      <c r="D17" s="305"/>
      <c r="E17" s="304"/>
      <c r="F17" s="372"/>
      <c r="G17" s="298"/>
      <c r="H17" s="303"/>
      <c r="I17" s="440"/>
      <c r="J17" s="303"/>
      <c r="K17" s="440"/>
      <c r="L17" s="272"/>
      <c r="M17" s="271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</row>
    <row r="18" spans="1:70" ht="9.75" customHeight="1">
      <c r="A18" s="266">
        <v>115358</v>
      </c>
      <c r="B18" s="266"/>
      <c r="C18" s="267"/>
      <c r="D18" s="306"/>
      <c r="E18" s="307"/>
      <c r="F18" s="373"/>
      <c r="G18" s="438"/>
      <c r="H18" s="441"/>
      <c r="I18" s="442"/>
      <c r="J18" s="441"/>
      <c r="K18" s="442"/>
      <c r="L18" s="273"/>
      <c r="M18" s="274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</row>
    <row r="19" spans="1:70" ht="15.75" customHeight="1">
      <c r="A19" s="276" t="s">
        <v>183</v>
      </c>
      <c r="B19" s="277"/>
      <c r="C19" s="278"/>
      <c r="D19" s="308">
        <v>0</v>
      </c>
      <c r="E19" s="309"/>
      <c r="F19" s="437">
        <v>0</v>
      </c>
      <c r="G19" s="315">
        <v>0</v>
      </c>
      <c r="H19" s="308">
        <v>1</v>
      </c>
      <c r="I19" s="439"/>
      <c r="J19" s="301" t="s">
        <v>20</v>
      </c>
      <c r="K19" s="439"/>
      <c r="L19" s="268"/>
      <c r="M19" s="269"/>
      <c r="P19" s="229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</row>
    <row r="20" spans="1:70" ht="12.75" customHeight="1">
      <c r="A20" s="279" t="s">
        <v>188</v>
      </c>
      <c r="B20" s="280"/>
      <c r="C20" s="281"/>
      <c r="D20" s="310"/>
      <c r="E20" s="311"/>
      <c r="F20" s="372"/>
      <c r="G20" s="298"/>
      <c r="H20" s="303"/>
      <c r="I20" s="440"/>
      <c r="J20" s="303"/>
      <c r="K20" s="440"/>
      <c r="L20" s="270"/>
      <c r="M20" s="271"/>
      <c r="P20" s="229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</row>
    <row r="21" spans="1:70" customFormat="1" ht="12.75" customHeight="1">
      <c r="A21" s="285">
        <v>46027</v>
      </c>
      <c r="B21" s="280"/>
      <c r="C21" s="281"/>
      <c r="D21" s="305"/>
      <c r="E21" s="304"/>
      <c r="F21" s="372"/>
      <c r="G21" s="298"/>
      <c r="H21" s="303"/>
      <c r="I21" s="440"/>
      <c r="J21" s="303"/>
      <c r="K21" s="440"/>
      <c r="L21" s="272"/>
      <c r="M21" s="271"/>
    </row>
    <row r="22" spans="1:70" customFormat="1" ht="12" customHeight="1">
      <c r="A22" s="282">
        <v>115335</v>
      </c>
      <c r="B22" s="283"/>
      <c r="C22" s="284"/>
      <c r="D22" s="306"/>
      <c r="E22" s="307"/>
      <c r="F22" s="373"/>
      <c r="G22" s="438"/>
      <c r="H22" s="441"/>
      <c r="I22" s="442"/>
      <c r="J22" s="441"/>
      <c r="K22" s="442"/>
      <c r="L22" s="273"/>
      <c r="M22" s="274"/>
    </row>
    <row r="23" spans="1:70" ht="12.75" customHeight="1">
      <c r="A23" s="276" t="s">
        <v>184</v>
      </c>
      <c r="B23" s="277"/>
      <c r="C23" s="278"/>
      <c r="D23" s="308">
        <v>0</v>
      </c>
      <c r="E23" s="309"/>
      <c r="F23" s="437">
        <v>0</v>
      </c>
      <c r="G23" s="315">
        <v>0</v>
      </c>
      <c r="H23" s="308">
        <v>0.8</v>
      </c>
      <c r="I23" s="439"/>
      <c r="J23" s="301" t="s">
        <v>20</v>
      </c>
      <c r="K23" s="439"/>
      <c r="L23" s="268"/>
      <c r="M23" s="269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</row>
    <row r="24" spans="1:70" ht="12.75" customHeight="1">
      <c r="A24" s="279" t="s">
        <v>189</v>
      </c>
      <c r="B24" s="280"/>
      <c r="C24" s="281"/>
      <c r="D24" s="310"/>
      <c r="E24" s="311"/>
      <c r="F24" s="372"/>
      <c r="G24" s="298"/>
      <c r="H24" s="303"/>
      <c r="I24" s="440"/>
      <c r="J24" s="303"/>
      <c r="K24" s="440"/>
      <c r="L24" s="270"/>
      <c r="M24" s="271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</row>
    <row r="25" spans="1:70" ht="12.75" customHeight="1">
      <c r="A25" s="285">
        <v>46044</v>
      </c>
      <c r="B25" s="280"/>
      <c r="C25" s="281"/>
      <c r="D25" s="305"/>
      <c r="E25" s="304"/>
      <c r="F25" s="372"/>
      <c r="G25" s="298"/>
      <c r="H25" s="303"/>
      <c r="I25" s="440"/>
      <c r="J25" s="303"/>
      <c r="K25" s="440"/>
      <c r="L25" s="272"/>
      <c r="M25" s="271"/>
      <c r="P25" s="229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</row>
    <row r="26" spans="1:70" ht="12.75" customHeight="1">
      <c r="A26" s="282">
        <v>115335</v>
      </c>
      <c r="B26" s="283"/>
      <c r="C26" s="284"/>
      <c r="D26" s="306"/>
      <c r="E26" s="307"/>
      <c r="F26" s="373"/>
      <c r="G26" s="438"/>
      <c r="H26" s="441"/>
      <c r="I26" s="442"/>
      <c r="J26" s="441"/>
      <c r="K26" s="442"/>
      <c r="L26" s="273"/>
      <c r="M26" s="274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</row>
    <row r="27" spans="1:70" ht="12.75" customHeight="1">
      <c r="A27" s="276" t="s">
        <v>185</v>
      </c>
      <c r="B27" s="277"/>
      <c r="C27" s="278"/>
      <c r="D27" s="308">
        <v>0</v>
      </c>
      <c r="E27" s="309"/>
      <c r="F27" s="437">
        <v>0</v>
      </c>
      <c r="G27" s="315">
        <v>0</v>
      </c>
      <c r="H27" s="308">
        <v>0.8</v>
      </c>
      <c r="I27" s="439"/>
      <c r="J27" s="301" t="s">
        <v>20</v>
      </c>
      <c r="K27" s="439"/>
      <c r="L27" s="268"/>
      <c r="M27" s="269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</row>
    <row r="28" spans="1:70" ht="12.75" customHeight="1">
      <c r="A28" s="279" t="s">
        <v>190</v>
      </c>
      <c r="B28" s="280"/>
      <c r="C28" s="281"/>
      <c r="D28" s="310"/>
      <c r="E28" s="311"/>
      <c r="F28" s="372"/>
      <c r="G28" s="298"/>
      <c r="H28" s="303"/>
      <c r="I28" s="440"/>
      <c r="J28" s="303"/>
      <c r="K28" s="440"/>
      <c r="L28" s="270"/>
      <c r="M28" s="271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</row>
    <row r="29" spans="1:70" ht="12.75" customHeight="1">
      <c r="A29" s="285">
        <v>46034</v>
      </c>
      <c r="B29" s="280"/>
      <c r="C29" s="281"/>
      <c r="D29" s="305"/>
      <c r="E29" s="304"/>
      <c r="F29" s="372"/>
      <c r="G29" s="298"/>
      <c r="H29" s="303"/>
      <c r="I29" s="440"/>
      <c r="J29" s="303"/>
      <c r="K29" s="440"/>
      <c r="L29" s="272"/>
      <c r="M29" s="271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</row>
    <row r="30" spans="1:70" ht="12.75" customHeight="1">
      <c r="A30" s="282">
        <v>115335</v>
      </c>
      <c r="B30" s="283"/>
      <c r="C30" s="284"/>
      <c r="D30" s="306"/>
      <c r="E30" s="307"/>
      <c r="F30" s="373"/>
      <c r="G30" s="438"/>
      <c r="H30" s="441"/>
      <c r="I30" s="442"/>
      <c r="J30" s="441"/>
      <c r="K30" s="442"/>
      <c r="L30" s="273"/>
      <c r="M30" s="274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</row>
    <row r="31" spans="1:70" ht="12.75" customHeight="1">
      <c r="A31" s="276" t="s">
        <v>186</v>
      </c>
      <c r="B31" s="277"/>
      <c r="C31" s="278"/>
      <c r="D31" s="308">
        <v>0</v>
      </c>
      <c r="E31" s="309"/>
      <c r="F31" s="437">
        <v>0</v>
      </c>
      <c r="G31" s="315">
        <v>0</v>
      </c>
      <c r="H31" s="308">
        <v>2</v>
      </c>
      <c r="I31" s="439"/>
      <c r="J31" s="301" t="s">
        <v>20</v>
      </c>
      <c r="K31" s="439"/>
      <c r="L31" s="268"/>
      <c r="M31" s="269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</row>
    <row r="32" spans="1:70" ht="12.75" customHeight="1">
      <c r="A32" s="279" t="s">
        <v>191</v>
      </c>
      <c r="B32" s="280"/>
      <c r="C32" s="281"/>
      <c r="D32" s="310"/>
      <c r="E32" s="311"/>
      <c r="F32" s="372"/>
      <c r="G32" s="298"/>
      <c r="H32" s="303"/>
      <c r="I32" s="440"/>
      <c r="J32" s="303"/>
      <c r="K32" s="440"/>
      <c r="L32" s="270"/>
      <c r="M32" s="271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</row>
    <row r="33" spans="1:70" customFormat="1" ht="12.75" customHeight="1">
      <c r="A33" s="285">
        <v>46028</v>
      </c>
      <c r="B33" s="280"/>
      <c r="C33" s="281"/>
      <c r="D33" s="305"/>
      <c r="E33" s="304"/>
      <c r="F33" s="372"/>
      <c r="G33" s="298"/>
      <c r="H33" s="303"/>
      <c r="I33" s="440"/>
      <c r="J33" s="303"/>
      <c r="K33" s="440"/>
      <c r="L33" s="272"/>
      <c r="M33" s="271"/>
    </row>
    <row r="34" spans="1:70" customFormat="1" ht="12.75" customHeight="1">
      <c r="A34" s="282">
        <v>115335</v>
      </c>
      <c r="B34" s="283"/>
      <c r="C34" s="284"/>
      <c r="D34" s="306"/>
      <c r="E34" s="307"/>
      <c r="F34" s="373"/>
      <c r="G34" s="438"/>
      <c r="H34" s="441"/>
      <c r="I34" s="442"/>
      <c r="J34" s="441"/>
      <c r="K34" s="442"/>
      <c r="L34" s="273"/>
      <c r="M34" s="274"/>
    </row>
    <row r="35" spans="1:70" ht="6.75" customHeight="1" thickBot="1">
      <c r="A35" s="233"/>
      <c r="B35" s="234"/>
      <c r="C35" s="234"/>
      <c r="D35" s="255"/>
      <c r="E35" s="255"/>
      <c r="F35" s="256"/>
      <c r="G35" s="256"/>
      <c r="H35" s="256"/>
      <c r="I35" s="256"/>
      <c r="J35" s="257"/>
      <c r="K35" s="257"/>
      <c r="L35" s="257"/>
      <c r="M35" s="23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</row>
    <row r="36" spans="1:70" ht="15" customHeight="1" thickBot="1">
      <c r="A36" s="22"/>
      <c r="B36" s="29" t="s">
        <v>159</v>
      </c>
      <c r="C36" s="2"/>
      <c r="D36" s="226">
        <v>0</v>
      </c>
      <c r="E36" s="227"/>
      <c r="F36" s="227"/>
      <c r="G36" s="253"/>
      <c r="H36" s="216"/>
      <c r="I36" s="217"/>
      <c r="J36" s="254"/>
      <c r="K36" s="254"/>
      <c r="L36" s="254"/>
      <c r="M36" s="24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</row>
    <row r="37" spans="1:70" ht="15" customHeight="1" thickBot="1">
      <c r="A37" s="23"/>
      <c r="B37" s="29" t="s">
        <v>160</v>
      </c>
      <c r="C37" s="2"/>
      <c r="D37" s="286">
        <f>AVERAGE(D15:E34)</f>
        <v>0</v>
      </c>
      <c r="E37" s="228"/>
      <c r="F37" s="35" t="s">
        <v>161</v>
      </c>
      <c r="G37" s="288">
        <f>(SUM(G2:G34))*D37</f>
        <v>0</v>
      </c>
      <c r="H37" s="2"/>
      <c r="I37" s="2"/>
      <c r="J37" s="2"/>
      <c r="K37" s="2"/>
      <c r="L37" s="2"/>
      <c r="M37" s="225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</row>
    <row r="38" spans="1:70" ht="15" customHeight="1" thickBot="1">
      <c r="A38" s="23"/>
      <c r="B38" s="29" t="s">
        <v>162</v>
      </c>
      <c r="C38" s="2"/>
      <c r="D38" s="226">
        <v>0</v>
      </c>
      <c r="E38" s="4"/>
      <c r="F38" s="2"/>
      <c r="G38" s="2"/>
      <c r="H38" s="33"/>
      <c r="I38" s="33"/>
      <c r="J38" s="2"/>
      <c r="K38" s="2"/>
      <c r="L38" s="2"/>
      <c r="M38" s="24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</row>
    <row r="39" spans="1:70" ht="15" customHeight="1">
      <c r="A39" s="23"/>
      <c r="B39" s="29"/>
      <c r="C39" s="2"/>
      <c r="D39" s="4"/>
      <c r="E39" s="4"/>
      <c r="F39" s="35"/>
      <c r="G39" s="33"/>
      <c r="H39" s="33"/>
      <c r="I39" s="33"/>
      <c r="J39" s="2"/>
      <c r="K39" s="2"/>
      <c r="L39" s="2"/>
      <c r="M39" s="24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</row>
    <row r="40" spans="1:70" s="34" customFormat="1" ht="15" customHeight="1">
      <c r="A40" s="36" t="s">
        <v>163</v>
      </c>
      <c r="B40" s="37"/>
      <c r="C40" s="38" t="s">
        <v>164</v>
      </c>
      <c r="D40" s="32"/>
      <c r="E40" s="4"/>
      <c r="F40" s="28"/>
      <c r="G40" s="33"/>
      <c r="H40" s="33"/>
      <c r="I40" s="33"/>
      <c r="J40" s="2"/>
      <c r="K40" s="2"/>
      <c r="L40" s="2"/>
      <c r="M40" s="24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</row>
    <row r="41" spans="1:70" ht="14.4" customHeight="1" thickBot="1">
      <c r="A41" s="25"/>
      <c r="B41" s="26"/>
      <c r="C41" s="27"/>
      <c r="D41" s="223"/>
      <c r="E41" s="223"/>
      <c r="F41" s="223"/>
      <c r="G41" s="223"/>
      <c r="H41" s="223"/>
      <c r="I41" s="223"/>
      <c r="J41" s="223"/>
      <c r="K41" s="223"/>
      <c r="L41" s="223"/>
      <c r="M41" s="224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</row>
    <row r="42" spans="1:70" ht="4.5" customHeight="1">
      <c r="A42" s="1"/>
      <c r="B42" s="1"/>
      <c r="C42" s="1"/>
      <c r="D42" s="3"/>
      <c r="E42" s="3"/>
      <c r="F42" s="1"/>
      <c r="G42" s="1"/>
      <c r="H42" s="1"/>
      <c r="I42" s="1"/>
      <c r="J42" s="1"/>
      <c r="K42" s="1"/>
      <c r="L42" s="1"/>
      <c r="M42" s="1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</row>
    <row r="43" spans="1:70" ht="12.75" customHeight="1"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</row>
    <row r="44" spans="1:70"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</row>
    <row r="45" spans="1:70"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</row>
    <row r="46" spans="1:70"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</row>
    <row r="47" spans="1:70"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</row>
    <row r="48" spans="1:70"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</row>
    <row r="49" spans="35:70"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</row>
    <row r="50" spans="35:70"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</row>
    <row r="51" spans="35:70"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</row>
    <row r="52" spans="35:70"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</row>
    <row r="53" spans="35:70"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</row>
    <row r="54" spans="35:70"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</row>
    <row r="55" spans="35:70"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</row>
    <row r="56" spans="35:70"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</row>
    <row r="57" spans="35:70"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</row>
    <row r="58" spans="35:70"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</row>
    <row r="59" spans="35:70"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</row>
    <row r="60" spans="35:70"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</row>
    <row r="61" spans="35:70"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</row>
    <row r="62" spans="35:70"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</row>
    <row r="63" spans="35:70"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</row>
    <row r="64" spans="35:70"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</row>
    <row r="65" spans="35:70"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</row>
    <row r="66" spans="35:70"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</row>
    <row r="67" spans="35:70"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</row>
    <row r="68" spans="35:70"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</row>
    <row r="69" spans="35:70"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</row>
    <row r="70" spans="35:70"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</row>
    <row r="71" spans="35:70"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</row>
    <row r="72" spans="35:70"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</row>
    <row r="73" spans="35:70"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</row>
    <row r="74" spans="35:70"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</row>
    <row r="75" spans="35:70"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</row>
    <row r="76" spans="35:70"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</row>
    <row r="77" spans="35:70"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</row>
    <row r="78" spans="35:70"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</row>
    <row r="79" spans="35:70"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</row>
    <row r="80" spans="35:70"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</row>
    <row r="81" spans="35:70"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</row>
    <row r="82" spans="35:70"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</row>
    <row r="83" spans="35:70"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</row>
    <row r="84" spans="35:70"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</row>
    <row r="85" spans="35:70"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</row>
    <row r="86" spans="35:70"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</row>
    <row r="87" spans="35:70"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</row>
    <row r="88" spans="35:70"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</row>
    <row r="89" spans="35:70"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</row>
    <row r="90" spans="35:70"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</row>
    <row r="91" spans="35:70"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</row>
    <row r="92" spans="35:70"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</row>
    <row r="93" spans="35:70"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</row>
    <row r="94" spans="35:70"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</row>
    <row r="95" spans="35:70"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</row>
    <row r="96" spans="35:70"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</row>
    <row r="97" spans="35:70"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</row>
    <row r="98" spans="35:70"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</row>
    <row r="99" spans="35:70"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</row>
    <row r="100" spans="35:70"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</row>
    <row r="101" spans="35:70"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</row>
    <row r="102" spans="35:70"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</row>
    <row r="103" spans="35:70"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</row>
    <row r="104" spans="35:70"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</row>
    <row r="105" spans="35:70"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</row>
    <row r="106" spans="35:70"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</row>
    <row r="107" spans="35:70"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</row>
    <row r="108" spans="35:70"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</row>
    <row r="109" spans="35:70"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</row>
    <row r="110" spans="35:70"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</row>
    <row r="111" spans="35:70"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</row>
    <row r="112" spans="35:70"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</row>
    <row r="113" spans="35:70"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</row>
    <row r="114" spans="35:70"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</row>
    <row r="115" spans="35:70"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</row>
    <row r="116" spans="35:70"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</row>
    <row r="117" spans="35:70"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</row>
    <row r="118" spans="35:70"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</row>
    <row r="119" spans="35:70"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</row>
    <row r="120" spans="35:70"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</row>
    <row r="121" spans="35:70"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</row>
    <row r="122" spans="35:70"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</row>
    <row r="123" spans="35:70"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</row>
    <row r="124" spans="35:70"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</row>
    <row r="125" spans="35:70"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</row>
    <row r="126" spans="35:70"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</row>
    <row r="127" spans="35:70"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</row>
    <row r="128" spans="35:70"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</row>
    <row r="129" spans="35:70"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</row>
    <row r="130" spans="35:70"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</row>
    <row r="131" spans="35:70"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</row>
    <row r="132" spans="35:70"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</row>
    <row r="133" spans="35:70"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</row>
    <row r="134" spans="35:70"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</row>
    <row r="135" spans="35:70"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</row>
    <row r="136" spans="35:70"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</row>
    <row r="137" spans="35:70"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</row>
    <row r="138" spans="35:70"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</row>
    <row r="139" spans="35:70"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</row>
    <row r="140" spans="35:70"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</row>
    <row r="141" spans="35:70"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</row>
    <row r="142" spans="35:70"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</row>
    <row r="143" spans="35:70"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</row>
    <row r="144" spans="35:70"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</row>
    <row r="145" spans="35:70"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</row>
    <row r="146" spans="35:70"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</row>
    <row r="147" spans="35:70"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</row>
    <row r="148" spans="35:70"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</row>
    <row r="149" spans="35:70"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</row>
    <row r="150" spans="35:70"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</row>
    <row r="151" spans="35:70"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</row>
    <row r="152" spans="35:70"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</row>
    <row r="153" spans="35:70"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</row>
    <row r="154" spans="35:70"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</row>
    <row r="155" spans="35:70"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</row>
    <row r="156" spans="35:70"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</row>
    <row r="157" spans="35:70"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</row>
    <row r="158" spans="35:70"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</row>
    <row r="159" spans="35:70"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</row>
    <row r="160" spans="35:70"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</row>
    <row r="161" spans="35:70"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</row>
    <row r="162" spans="35:70"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</row>
    <row r="163" spans="35:70"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</row>
    <row r="164" spans="35:70"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</row>
  </sheetData>
  <mergeCells count="36">
    <mergeCell ref="F31:F34"/>
    <mergeCell ref="G31:G34"/>
    <mergeCell ref="H31:I34"/>
    <mergeCell ref="J31:K34"/>
    <mergeCell ref="F23:F26"/>
    <mergeCell ref="G23:G26"/>
    <mergeCell ref="H23:I26"/>
    <mergeCell ref="J23:K26"/>
    <mergeCell ref="F27:F30"/>
    <mergeCell ref="G27:G30"/>
    <mergeCell ref="H27:I30"/>
    <mergeCell ref="J27:K30"/>
    <mergeCell ref="F15:F18"/>
    <mergeCell ref="G15:G18"/>
    <mergeCell ref="H15:I18"/>
    <mergeCell ref="J15:K18"/>
    <mergeCell ref="F19:F22"/>
    <mergeCell ref="G19:G22"/>
    <mergeCell ref="H19:I22"/>
    <mergeCell ref="J19:K22"/>
    <mergeCell ref="D15:E18"/>
    <mergeCell ref="D19:E22"/>
    <mergeCell ref="D23:E26"/>
    <mergeCell ref="D27:E30"/>
    <mergeCell ref="D31:E34"/>
    <mergeCell ref="J12:K14"/>
    <mergeCell ref="L12:M14"/>
    <mergeCell ref="J1:M4"/>
    <mergeCell ref="J11:M11"/>
    <mergeCell ref="H11:I14"/>
    <mergeCell ref="A1:B4"/>
    <mergeCell ref="G11:G14"/>
    <mergeCell ref="C1:I4"/>
    <mergeCell ref="D11:E14"/>
    <mergeCell ref="F11:F14"/>
    <mergeCell ref="C6:I6"/>
  </mergeCells>
  <phoneticPr fontId="20" type="noConversion"/>
  <conditionalFormatting sqref="D15:E34">
    <cfRule type="cellIs" dxfId="36" priority="1" operator="greaterThan">
      <formula>"0.5"</formula>
    </cfRule>
    <cfRule type="cellIs" dxfId="35" priority="2" operator="equal">
      <formula>0</formula>
    </cfRule>
  </conditionalFormatting>
  <printOptions horizontalCentered="1" verticalCentered="1"/>
  <pageMargins left="0.27559055118110237" right="0.19685039370078741" top="0.43307086614173229" bottom="0.43307086614173229" header="0.31496062992125984" footer="0.39370078740157483"/>
  <pageSetup paperSize="9" orientation="portrait" horizontalDpi="1200" verticalDpi="1200" r:id="rId1"/>
  <headerFooter alignWithMargins="0">
    <oddHeader>&amp;LPI 3010 Enclosure 1(a) / 09.24</oddHeader>
    <oddFooter xml:space="preserve"><![CDATA[&L_x000D_&1#&"Arial"&10&K000000 [Internal]&R&",Standard"&7    ]]>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D7BD4-42BE-4780-8ACB-F2BBE2040DAB}">
  <sheetPr>
    <pageSetUpPr fitToPage="1"/>
  </sheetPr>
  <dimension ref="A1:BR164"/>
  <sheetViews>
    <sheetView showGridLines="0" zoomScale="145" zoomScaleNormal="145" zoomScaleSheetLayoutView="115" zoomScalePageLayoutView="85" workbookViewId="0">
      <selection activeCell="P25" sqref="P25"/>
    </sheetView>
  </sheetViews>
  <sheetFormatPr baseColWidth="10" defaultColWidth="11.44140625" defaultRowHeight="12.6"/>
  <cols>
    <col min="1" max="1" customWidth="true" style="2" width="13.33203125"/>
    <col min="2" max="2" customWidth="true" style="2" width="11.5546875"/>
    <col min="3" max="3" customWidth="true" style="2" width="6.33203125"/>
    <col min="4" max="4" customWidth="true" style="4" width="5.5546875"/>
    <col min="5" max="5" customWidth="true" style="4" width="5.6640625"/>
    <col min="6" max="7" customWidth="true" style="2" width="10.6640625"/>
    <col min="8" max="13" customWidth="true" style="2" width="5.5546875"/>
    <col min="14" max="16384" style="2" width="11.44140625"/>
  </cols>
  <sheetData>
    <row r="1" spans="1:70" ht="7.95" customHeight="1">
      <c r="A1" s="325"/>
      <c r="B1" s="326"/>
      <c r="C1" s="331" t="s">
        <v>144</v>
      </c>
      <c r="D1" s="332"/>
      <c r="E1" s="332"/>
      <c r="F1" s="332"/>
      <c r="G1" s="332"/>
      <c r="H1" s="332"/>
      <c r="I1" s="333"/>
      <c r="J1" s="340" t="s">
        <v>228</v>
      </c>
      <c r="K1" s="341"/>
      <c r="L1" s="341"/>
      <c r="M1" s="34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</row>
    <row r="2" spans="1:70" s="30" customFormat="1" ht="15" customHeight="1">
      <c r="A2" s="327"/>
      <c r="B2" s="328"/>
      <c r="C2" s="334"/>
      <c r="D2" s="335"/>
      <c r="E2" s="335"/>
      <c r="F2" s="335"/>
      <c r="G2" s="335"/>
      <c r="H2" s="335"/>
      <c r="I2" s="336"/>
      <c r="J2" s="343"/>
      <c r="K2" s="344"/>
      <c r="L2" s="344"/>
      <c r="M2" s="345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</row>
    <row r="3" spans="1:70" s="30" customFormat="1" ht="17.100000000000001" customHeight="1">
      <c r="A3" s="327"/>
      <c r="B3" s="328"/>
      <c r="C3" s="334"/>
      <c r="D3" s="335"/>
      <c r="E3" s="335"/>
      <c r="F3" s="335"/>
      <c r="G3" s="335"/>
      <c r="H3" s="335"/>
      <c r="I3" s="336"/>
      <c r="J3" s="343"/>
      <c r="K3" s="344"/>
      <c r="L3" s="344"/>
      <c r="M3" s="345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</row>
    <row r="4" spans="1:70" s="30" customFormat="1" ht="14.1" customHeight="1" thickBot="1">
      <c r="A4" s="329"/>
      <c r="B4" s="330"/>
      <c r="C4" s="337"/>
      <c r="D4" s="338"/>
      <c r="E4" s="338"/>
      <c r="F4" s="338"/>
      <c r="G4" s="338"/>
      <c r="H4" s="338"/>
      <c r="I4" s="339"/>
      <c r="J4" s="346"/>
      <c r="K4" s="347"/>
      <c r="L4" s="347"/>
      <c r="M4" s="348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</row>
    <row r="5" spans="1:70" ht="6.75" customHeight="1">
      <c r="A5" s="20"/>
      <c r="B5" s="5"/>
      <c r="C5" s="5"/>
      <c r="D5" s="6"/>
      <c r="E5" s="6"/>
      <c r="F5" s="5"/>
      <c r="G5" s="5"/>
      <c r="H5" s="5"/>
      <c r="I5" s="5"/>
      <c r="J5" s="5"/>
      <c r="K5" s="5"/>
      <c r="L5" s="5"/>
      <c r="M5" s="17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</row>
    <row r="6" spans="1:70" ht="17.399999999999999">
      <c r="A6" s="21"/>
      <c r="B6" s="13"/>
      <c r="C6" s="349" t="s">
        <v>145</v>
      </c>
      <c r="D6" s="349"/>
      <c r="E6" s="349"/>
      <c r="F6" s="349"/>
      <c r="G6" s="349"/>
      <c r="H6" s="349"/>
      <c r="I6" s="349"/>
      <c r="J6" s="258"/>
      <c r="L6" s="13"/>
      <c r="M6" s="18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</row>
    <row r="7" spans="1:70" ht="6" customHeight="1">
      <c r="A7" s="16"/>
      <c r="B7" s="7"/>
      <c r="C7" s="7"/>
      <c r="D7" s="8"/>
      <c r="E7" s="9"/>
      <c r="F7" s="10"/>
      <c r="G7" s="7"/>
      <c r="H7" s="7"/>
      <c r="I7" s="7"/>
      <c r="J7" s="7"/>
      <c r="K7" s="7"/>
      <c r="L7" s="7"/>
      <c r="M7" s="19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</row>
    <row r="8" spans="1:70" ht="12.75" customHeight="1">
      <c r="A8" s="20" t="s">
        <v>146</v>
      </c>
      <c r="B8" s="259"/>
      <c r="C8" s="10"/>
      <c r="D8" s="14"/>
      <c r="F8" s="15" t="s">
        <v>229</v>
      </c>
      <c r="G8" s="5"/>
      <c r="H8" s="5"/>
      <c r="I8" s="5"/>
      <c r="J8" s="10"/>
      <c r="K8" s="11"/>
      <c r="L8" s="12"/>
      <c r="M8" s="17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</row>
    <row r="9" spans="1:70" ht="12.75" customHeight="1">
      <c r="A9" s="21"/>
      <c r="B9" s="259"/>
      <c r="C9" s="10"/>
      <c r="D9" s="14"/>
      <c r="F9" s="15"/>
      <c r="G9" s="5"/>
      <c r="H9" s="5"/>
      <c r="I9" s="5"/>
      <c r="J9" s="10"/>
      <c r="K9" s="11"/>
      <c r="L9" s="12"/>
      <c r="M9" s="17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</row>
    <row r="10" spans="1:70" ht="6.75" customHeight="1" thickBot="1">
      <c r="A10" s="16"/>
      <c r="B10" s="5"/>
      <c r="C10" s="5"/>
      <c r="D10" s="6"/>
      <c r="E10" s="6"/>
      <c r="F10" s="12"/>
      <c r="G10" s="5"/>
      <c r="H10" s="5"/>
      <c r="I10" s="5"/>
      <c r="J10" s="5"/>
      <c r="K10" s="5"/>
      <c r="L10" s="5"/>
      <c r="M10" s="17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</row>
    <row r="11" spans="1:70" ht="12.75" customHeight="1" thickBot="1">
      <c r="A11" s="235" t="s">
        <v>148</v>
      </c>
      <c r="B11" s="236"/>
      <c r="C11" s="237"/>
      <c r="D11" s="350" t="s">
        <v>149</v>
      </c>
      <c r="E11" s="351"/>
      <c r="F11" s="356" t="s">
        <v>150</v>
      </c>
      <c r="G11" s="356" t="s">
        <v>151</v>
      </c>
      <c r="H11" s="359" t="s">
        <v>152</v>
      </c>
      <c r="I11" s="360"/>
      <c r="J11" s="365" t="s">
        <v>153</v>
      </c>
      <c r="K11" s="366"/>
      <c r="L11" s="366"/>
      <c r="M11" s="367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</row>
    <row r="12" spans="1:70" ht="12.75" customHeight="1">
      <c r="A12" s="238" t="s">
        <v>154</v>
      </c>
      <c r="B12" s="239"/>
      <c r="C12" s="240"/>
      <c r="D12" s="352"/>
      <c r="E12" s="353"/>
      <c r="F12" s="357"/>
      <c r="G12" s="357"/>
      <c r="H12" s="361"/>
      <c r="I12" s="362"/>
      <c r="J12" s="359" t="s">
        <v>155</v>
      </c>
      <c r="K12" s="360"/>
      <c r="L12" s="320" t="s">
        <v>156</v>
      </c>
      <c r="M12" s="321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</row>
    <row r="13" spans="1:70" ht="12.75" customHeight="1">
      <c r="A13" s="238" t="s">
        <v>157</v>
      </c>
      <c r="B13" s="239"/>
      <c r="C13" s="240"/>
      <c r="D13" s="352"/>
      <c r="E13" s="353"/>
      <c r="F13" s="357"/>
      <c r="G13" s="357"/>
      <c r="H13" s="361"/>
      <c r="I13" s="362"/>
      <c r="J13" s="368"/>
      <c r="K13" s="369"/>
      <c r="L13" s="322"/>
      <c r="M13" s="323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</row>
    <row r="14" spans="1:70" ht="12.75" customHeight="1">
      <c r="A14" s="241" t="s">
        <v>158</v>
      </c>
      <c r="B14" s="242"/>
      <c r="C14" s="243"/>
      <c r="D14" s="354"/>
      <c r="E14" s="355"/>
      <c r="F14" s="358"/>
      <c r="G14" s="358"/>
      <c r="H14" s="363"/>
      <c r="I14" s="364"/>
      <c r="J14" s="361"/>
      <c r="K14" s="369"/>
      <c r="L14" s="324"/>
      <c r="M14" s="323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</row>
    <row r="15" spans="1:70" ht="12.75" customHeight="1">
      <c r="A15" s="244" t="s">
        <v>165</v>
      </c>
      <c r="B15" s="245"/>
      <c r="C15" s="246"/>
      <c r="D15" s="308">
        <v>0</v>
      </c>
      <c r="E15" s="309"/>
      <c r="F15" s="315">
        <v>0</v>
      </c>
      <c r="G15" s="315">
        <v>0</v>
      </c>
      <c r="H15" s="308">
        <v>1</v>
      </c>
      <c r="I15" s="302"/>
      <c r="J15" s="301" t="s">
        <v>20</v>
      </c>
      <c r="K15" s="312"/>
      <c r="L15" s="290"/>
      <c r="M15" s="291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</row>
    <row r="16" spans="1:70" ht="12.75" customHeight="1">
      <c r="A16" s="247" t="s">
        <v>166</v>
      </c>
      <c r="B16" s="248"/>
      <c r="C16" s="249"/>
      <c r="D16" s="310"/>
      <c r="E16" s="311"/>
      <c r="F16" s="455"/>
      <c r="G16" s="298"/>
      <c r="H16" s="303"/>
      <c r="I16" s="304"/>
      <c r="J16" s="303"/>
      <c r="K16" s="313"/>
      <c r="L16" s="292"/>
      <c r="M16" s="293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</row>
    <row r="17" spans="1:70" ht="12.75" customHeight="1">
      <c r="A17" s="260">
        <v>46056</v>
      </c>
      <c r="B17" s="248"/>
      <c r="C17" s="249"/>
      <c r="D17" s="305"/>
      <c r="E17" s="304"/>
      <c r="F17" s="299"/>
      <c r="G17" s="299"/>
      <c r="H17" s="305"/>
      <c r="I17" s="304"/>
      <c r="J17" s="305"/>
      <c r="K17" s="313"/>
      <c r="L17" s="294"/>
      <c r="M17" s="293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</row>
    <row r="18" spans="1:70" ht="12.75" customHeight="1">
      <c r="A18" s="250">
        <v>115335</v>
      </c>
      <c r="B18" s="251"/>
      <c r="C18" s="252"/>
      <c r="D18" s="306"/>
      <c r="E18" s="307"/>
      <c r="F18" s="300"/>
      <c r="G18" s="300"/>
      <c r="H18" s="306"/>
      <c r="I18" s="307"/>
      <c r="J18" s="306"/>
      <c r="K18" s="314"/>
      <c r="L18" s="295"/>
      <c r="M18" s="296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</row>
    <row r="19" spans="1:70" ht="12.75" customHeight="1">
      <c r="A19" s="244" t="s">
        <v>167</v>
      </c>
      <c r="B19" s="245"/>
      <c r="C19" s="246"/>
      <c r="D19" s="308">
        <v>0</v>
      </c>
      <c r="E19" s="309"/>
      <c r="F19" s="315">
        <v>0</v>
      </c>
      <c r="G19" s="315">
        <v>0</v>
      </c>
      <c r="H19" s="308">
        <v>2</v>
      </c>
      <c r="I19" s="302"/>
      <c r="J19" s="301" t="s">
        <v>20</v>
      </c>
      <c r="K19" s="312"/>
      <c r="L19" s="290"/>
      <c r="M19" s="291"/>
      <c r="P19" s="229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</row>
    <row r="20" spans="1:70" ht="12.75" customHeight="1">
      <c r="A20" s="247" t="s">
        <v>168</v>
      </c>
      <c r="B20" s="248"/>
      <c r="C20" s="249"/>
      <c r="D20" s="310"/>
      <c r="E20" s="311"/>
      <c r="F20" s="455"/>
      <c r="G20" s="298"/>
      <c r="H20" s="303"/>
      <c r="I20" s="304"/>
      <c r="J20" s="303"/>
      <c r="K20" s="313"/>
      <c r="L20" s="292"/>
      <c r="M20" s="293"/>
      <c r="P20" s="229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</row>
    <row r="21" spans="1:70" customFormat="1" ht="12.75" customHeight="1">
      <c r="A21" s="260">
        <v>46056</v>
      </c>
      <c r="B21" s="248"/>
      <c r="C21" s="249"/>
      <c r="D21" s="305"/>
      <c r="E21" s="304"/>
      <c r="F21" s="299"/>
      <c r="G21" s="299"/>
      <c r="H21" s="305"/>
      <c r="I21" s="304"/>
      <c r="J21" s="305"/>
      <c r="K21" s="313"/>
      <c r="L21" s="294"/>
      <c r="M21" s="293"/>
    </row>
    <row r="22" spans="1:70" customFormat="1" ht="12.75" customHeight="1">
      <c r="A22" s="250">
        <v>115335</v>
      </c>
      <c r="B22" s="251"/>
      <c r="C22" s="252"/>
      <c r="D22" s="306"/>
      <c r="E22" s="307"/>
      <c r="F22" s="300"/>
      <c r="G22" s="300"/>
      <c r="H22" s="306"/>
      <c r="I22" s="307"/>
      <c r="J22" s="306"/>
      <c r="K22" s="314"/>
      <c r="L22" s="295"/>
      <c r="M22" s="296"/>
    </row>
    <row r="23" spans="1:70" ht="12.75" customHeight="1">
      <c r="A23" s="244" t="s">
        <v>170</v>
      </c>
      <c r="B23" s="245"/>
      <c r="C23" s="246"/>
      <c r="D23" s="308">
        <v>0</v>
      </c>
      <c r="E23" s="309"/>
      <c r="F23" s="315">
        <v>0</v>
      </c>
      <c r="G23" s="315">
        <v>0</v>
      </c>
      <c r="H23" s="308">
        <v>1</v>
      </c>
      <c r="I23" s="302"/>
      <c r="J23" s="301" t="s">
        <v>20</v>
      </c>
      <c r="K23" s="312"/>
      <c r="L23" s="290"/>
      <c r="M23" s="291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</row>
    <row r="24" spans="1:70" ht="12.75" customHeight="1">
      <c r="A24" s="247" t="s">
        <v>171</v>
      </c>
      <c r="B24" s="248"/>
      <c r="C24" s="249"/>
      <c r="D24" s="310"/>
      <c r="E24" s="311"/>
      <c r="F24" s="298"/>
      <c r="G24" s="298"/>
      <c r="H24" s="303"/>
      <c r="I24" s="304"/>
      <c r="J24" s="303"/>
      <c r="K24" s="313"/>
      <c r="L24" s="292"/>
      <c r="M24" s="293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</row>
    <row r="25" spans="1:70" ht="12.75" customHeight="1">
      <c r="A25" s="260">
        <v>46062</v>
      </c>
      <c r="B25" s="248"/>
      <c r="C25" s="249"/>
      <c r="D25" s="305"/>
      <c r="E25" s="304"/>
      <c r="F25" s="299"/>
      <c r="G25" s="299"/>
      <c r="H25" s="305"/>
      <c r="I25" s="304"/>
      <c r="J25" s="305"/>
      <c r="K25" s="313"/>
      <c r="L25" s="294"/>
      <c r="M25" s="293"/>
      <c r="P25" s="229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</row>
    <row r="26" spans="1:70" ht="12.75" customHeight="1">
      <c r="A26" s="250">
        <v>115335</v>
      </c>
      <c r="B26" s="251"/>
      <c r="C26" s="252"/>
      <c r="D26" s="306"/>
      <c r="E26" s="307"/>
      <c r="F26" s="300"/>
      <c r="G26" s="300"/>
      <c r="H26" s="306"/>
      <c r="I26" s="307"/>
      <c r="J26" s="306"/>
      <c r="K26" s="314"/>
      <c r="L26" s="295"/>
      <c r="M26" s="296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</row>
    <row r="27" spans="1:70" ht="12.75" customHeight="1">
      <c r="A27" s="244" t="s">
        <v>178</v>
      </c>
      <c r="B27" s="245"/>
      <c r="C27" s="246"/>
      <c r="D27" s="447">
        <v>0.8</v>
      </c>
      <c r="E27" s="448"/>
      <c r="F27" s="315">
        <v>2</v>
      </c>
      <c r="G27" s="315">
        <v>150</v>
      </c>
      <c r="H27" s="308">
        <v>0.7</v>
      </c>
      <c r="I27" s="302"/>
      <c r="J27" s="301" t="s">
        <v>20</v>
      </c>
      <c r="K27" s="312"/>
      <c r="L27" s="290"/>
      <c r="M27" s="291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</row>
    <row r="28" spans="1:70" ht="12.75" customHeight="1">
      <c r="A28" s="247" t="s">
        <v>179</v>
      </c>
      <c r="B28" s="248"/>
      <c r="C28" s="249"/>
      <c r="D28" s="449"/>
      <c r="E28" s="450"/>
      <c r="F28" s="298"/>
      <c r="G28" s="298"/>
      <c r="H28" s="303"/>
      <c r="I28" s="304"/>
      <c r="J28" s="303"/>
      <c r="K28" s="313"/>
      <c r="L28" s="292"/>
      <c r="M28" s="293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</row>
    <row r="29" spans="1:70" ht="12.75" customHeight="1">
      <c r="A29" s="260">
        <v>44967</v>
      </c>
      <c r="B29" s="248"/>
      <c r="C29" s="249"/>
      <c r="D29" s="451"/>
      <c r="E29" s="452"/>
      <c r="F29" s="299"/>
      <c r="G29" s="299"/>
      <c r="H29" s="305"/>
      <c r="I29" s="304"/>
      <c r="J29" s="305"/>
      <c r="K29" s="313"/>
      <c r="L29" s="294"/>
      <c r="M29" s="293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</row>
    <row r="30" spans="1:70" ht="12.75" customHeight="1">
      <c r="A30" s="250">
        <v>115358</v>
      </c>
      <c r="B30" s="251"/>
      <c r="C30" s="252"/>
      <c r="D30" s="453"/>
      <c r="E30" s="454"/>
      <c r="F30" s="300"/>
      <c r="G30" s="300"/>
      <c r="H30" s="306"/>
      <c r="I30" s="307"/>
      <c r="J30" s="306"/>
      <c r="K30" s="314"/>
      <c r="L30" s="295"/>
      <c r="M30" s="296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</row>
    <row r="31" spans="1:70" ht="12.75" customHeight="1">
      <c r="A31" s="244" t="s">
        <v>180</v>
      </c>
      <c r="B31" s="245"/>
      <c r="C31" s="246"/>
      <c r="D31" s="443">
        <v>0.4</v>
      </c>
      <c r="E31" s="444"/>
      <c r="F31" s="315">
        <v>2</v>
      </c>
      <c r="G31" s="315">
        <v>75</v>
      </c>
      <c r="H31" s="308">
        <v>0.7</v>
      </c>
      <c r="I31" s="302"/>
      <c r="J31" s="301" t="s">
        <v>20</v>
      </c>
      <c r="K31" s="312"/>
      <c r="L31" s="290"/>
      <c r="M31" s="291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</row>
    <row r="32" spans="1:70" ht="12.75" customHeight="1">
      <c r="A32" s="247" t="s">
        <v>181</v>
      </c>
      <c r="B32" s="248"/>
      <c r="C32" s="249"/>
      <c r="D32" s="445"/>
      <c r="E32" s="446"/>
      <c r="F32" s="298"/>
      <c r="G32" s="298"/>
      <c r="H32" s="303"/>
      <c r="I32" s="304"/>
      <c r="J32" s="303"/>
      <c r="K32" s="313"/>
      <c r="L32" s="292"/>
      <c r="M32" s="293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</row>
    <row r="33" spans="1:70" customFormat="1" ht="12.75" customHeight="1">
      <c r="A33" s="260">
        <v>46064</v>
      </c>
      <c r="B33" s="248"/>
      <c r="C33" s="249"/>
      <c r="D33" s="305"/>
      <c r="E33" s="304"/>
      <c r="F33" s="299"/>
      <c r="G33" s="299"/>
      <c r="H33" s="305"/>
      <c r="I33" s="304"/>
      <c r="J33" s="305"/>
      <c r="K33" s="313"/>
      <c r="L33" s="294"/>
      <c r="M33" s="293"/>
    </row>
    <row r="34" spans="1:70" customFormat="1" ht="12.75" customHeight="1">
      <c r="A34" s="250">
        <v>115335</v>
      </c>
      <c r="B34" s="251"/>
      <c r="C34" s="252"/>
      <c r="D34" s="306"/>
      <c r="E34" s="307"/>
      <c r="F34" s="300"/>
      <c r="G34" s="300"/>
      <c r="H34" s="306"/>
      <c r="I34" s="307"/>
      <c r="J34" s="306"/>
      <c r="K34" s="314"/>
      <c r="L34" s="295"/>
      <c r="M34" s="296"/>
    </row>
    <row r="35" spans="1:70" ht="6.75" customHeight="1" thickBot="1">
      <c r="A35" s="233"/>
      <c r="B35" s="234"/>
      <c r="C35" s="234"/>
      <c r="D35" s="255"/>
      <c r="E35" s="255"/>
      <c r="F35" s="256"/>
      <c r="G35" s="256"/>
      <c r="H35" s="256"/>
      <c r="I35" s="256"/>
      <c r="J35" s="257"/>
      <c r="K35" s="257"/>
      <c r="L35" s="257"/>
      <c r="M35" s="23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</row>
    <row r="36" spans="1:70" ht="15" customHeight="1" thickBot="1">
      <c r="A36" s="22"/>
      <c r="B36" s="29" t="s">
        <v>159</v>
      </c>
      <c r="C36" s="2"/>
      <c r="D36" s="226">
        <v>0</v>
      </c>
      <c r="E36" s="227"/>
      <c r="F36" s="227"/>
      <c r="G36" s="253"/>
      <c r="H36" s="216"/>
      <c r="I36" s="217"/>
      <c r="J36" s="254"/>
      <c r="K36" s="254"/>
      <c r="L36" s="254"/>
      <c r="M36" s="24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</row>
    <row r="37" spans="1:70" ht="15" customHeight="1" thickBot="1">
      <c r="A37" s="23"/>
      <c r="B37" s="29" t="s">
        <v>160</v>
      </c>
      <c r="C37" s="2"/>
      <c r="D37" s="286">
        <f>AVERAGE(D15:E34)</f>
        <v>0.24000000000000005</v>
      </c>
      <c r="E37" s="228"/>
      <c r="F37" s="35" t="s">
        <v>161</v>
      </c>
      <c r="G37" s="288">
        <f>(SUM(G2:G34))*D37</f>
        <v>54.000000000000007</v>
      </c>
      <c r="H37" s="2"/>
      <c r="I37" s="2"/>
      <c r="J37" s="2"/>
      <c r="K37" s="2"/>
      <c r="L37" s="2"/>
      <c r="M37" s="225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</row>
    <row r="38" spans="1:70" ht="15" customHeight="1" thickBot="1">
      <c r="A38" s="23"/>
      <c r="B38" s="29" t="s">
        <v>162</v>
      </c>
      <c r="C38" s="2"/>
      <c r="D38" s="261">
        <v>0.8</v>
      </c>
      <c r="E38" s="4"/>
      <c r="F38" s="2"/>
      <c r="G38" s="2"/>
      <c r="H38" s="33"/>
      <c r="I38" s="33"/>
      <c r="J38" s="2"/>
      <c r="K38" s="2"/>
      <c r="L38" s="2"/>
      <c r="M38" s="24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</row>
    <row r="39" spans="1:70" ht="15" customHeight="1">
      <c r="A39" s="23"/>
      <c r="B39" s="29"/>
      <c r="C39" s="2"/>
      <c r="D39" s="4"/>
      <c r="E39" s="4"/>
      <c r="F39" s="35"/>
      <c r="G39" s="33"/>
      <c r="H39" s="33"/>
      <c r="I39" s="33"/>
      <c r="J39" s="2"/>
      <c r="K39" s="2"/>
      <c r="L39" s="2"/>
      <c r="M39" s="24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</row>
    <row r="40" spans="1:70" s="34" customFormat="1" ht="15" customHeight="1">
      <c r="A40" s="36" t="s">
        <v>163</v>
      </c>
      <c r="B40" s="37"/>
      <c r="C40" s="38" t="s">
        <v>164</v>
      </c>
      <c r="D40" s="32"/>
      <c r="E40" s="4"/>
      <c r="F40" s="28"/>
      <c r="G40" s="33"/>
      <c r="H40" s="33"/>
      <c r="I40" s="33"/>
      <c r="J40" s="2"/>
      <c r="K40" s="2"/>
      <c r="L40" s="2"/>
      <c r="M40" s="24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</row>
    <row r="41" spans="1:70" ht="14.4" customHeight="1" thickBot="1">
      <c r="A41" s="25"/>
      <c r="B41" s="26"/>
      <c r="C41" s="27"/>
      <c r="D41" s="223"/>
      <c r="E41" s="223"/>
      <c r="F41" s="223"/>
      <c r="G41" s="223"/>
      <c r="H41" s="223"/>
      <c r="I41" s="223"/>
      <c r="J41" s="223"/>
      <c r="K41" s="223"/>
      <c r="L41" s="223"/>
      <c r="M41" s="224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</row>
    <row r="42" spans="1:70" ht="4.5" customHeight="1">
      <c r="A42" s="1"/>
      <c r="B42" s="1"/>
      <c r="C42" s="1"/>
      <c r="D42" s="3"/>
      <c r="E42" s="3"/>
      <c r="F42" s="1"/>
      <c r="G42" s="1"/>
      <c r="H42" s="1"/>
      <c r="I42" s="1"/>
      <c r="J42" s="1"/>
      <c r="K42" s="1"/>
      <c r="L42" s="1"/>
      <c r="M42" s="1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</row>
    <row r="43" spans="1:70" ht="12.75" customHeight="1"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</row>
    <row r="44" spans="1:70"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</row>
    <row r="45" spans="1:70"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</row>
    <row r="46" spans="1:70"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</row>
    <row r="47" spans="1:70"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</row>
    <row r="48" spans="1:70"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</row>
    <row r="49" spans="35:70"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</row>
    <row r="50" spans="35:70"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</row>
    <row r="51" spans="35:70"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</row>
    <row r="52" spans="35:70"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</row>
    <row r="53" spans="35:70"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</row>
    <row r="54" spans="35:70"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</row>
    <row r="55" spans="35:70"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</row>
    <row r="56" spans="35:70"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</row>
    <row r="57" spans="35:70"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</row>
    <row r="58" spans="35:70"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</row>
    <row r="59" spans="35:70"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</row>
    <row r="60" spans="35:70"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</row>
    <row r="61" spans="35:70"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</row>
    <row r="62" spans="35:70"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</row>
    <row r="63" spans="35:70"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</row>
    <row r="64" spans="35:70"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</row>
    <row r="65" spans="35:70"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</row>
    <row r="66" spans="35:70"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</row>
    <row r="67" spans="35:70"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</row>
    <row r="68" spans="35:70"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</row>
    <row r="69" spans="35:70"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</row>
    <row r="70" spans="35:70"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</row>
    <row r="71" spans="35:70"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</row>
    <row r="72" spans="35:70"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</row>
    <row r="73" spans="35:70"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</row>
    <row r="74" spans="35:70"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</row>
    <row r="75" spans="35:70"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</row>
    <row r="76" spans="35:70"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</row>
    <row r="77" spans="35:70"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</row>
    <row r="78" spans="35:70"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</row>
    <row r="79" spans="35:70"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</row>
    <row r="80" spans="35:70"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</row>
    <row r="81" spans="35:70"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</row>
    <row r="82" spans="35:70"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</row>
    <row r="83" spans="35:70"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</row>
    <row r="84" spans="35:70"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</row>
    <row r="85" spans="35:70"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</row>
    <row r="86" spans="35:70"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</row>
    <row r="87" spans="35:70"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</row>
    <row r="88" spans="35:70"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</row>
    <row r="89" spans="35:70"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</row>
    <row r="90" spans="35:70"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</row>
    <row r="91" spans="35:70"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</row>
    <row r="92" spans="35:70"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</row>
    <row r="93" spans="35:70"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</row>
    <row r="94" spans="35:70"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</row>
    <row r="95" spans="35:70"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</row>
    <row r="96" spans="35:70"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</row>
    <row r="97" spans="35:70"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</row>
    <row r="98" spans="35:70"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</row>
    <row r="99" spans="35:70"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</row>
    <row r="100" spans="35:70"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</row>
    <row r="101" spans="35:70"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</row>
    <row r="102" spans="35:70"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</row>
    <row r="103" spans="35:70"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</row>
    <row r="104" spans="35:70"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</row>
    <row r="105" spans="35:70"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</row>
    <row r="106" spans="35:70"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</row>
    <row r="107" spans="35:70"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</row>
    <row r="108" spans="35:70"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</row>
    <row r="109" spans="35:70"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</row>
    <row r="110" spans="35:70"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</row>
    <row r="111" spans="35:70"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</row>
    <row r="112" spans="35:70"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</row>
    <row r="113" spans="35:70"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</row>
    <row r="114" spans="35:70"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</row>
    <row r="115" spans="35:70"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</row>
    <row r="116" spans="35:70"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</row>
    <row r="117" spans="35:70"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</row>
    <row r="118" spans="35:70"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</row>
    <row r="119" spans="35:70"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</row>
    <row r="120" spans="35:70"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</row>
    <row r="121" spans="35:70"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</row>
    <row r="122" spans="35:70"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</row>
    <row r="123" spans="35:70"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</row>
    <row r="124" spans="35:70"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</row>
    <row r="125" spans="35:70"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</row>
    <row r="126" spans="35:70"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</row>
    <row r="127" spans="35:70"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</row>
    <row r="128" spans="35:70"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</row>
    <row r="129" spans="35:70"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</row>
    <row r="130" spans="35:70"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</row>
    <row r="131" spans="35:70"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</row>
    <row r="132" spans="35:70"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</row>
    <row r="133" spans="35:70"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</row>
    <row r="134" spans="35:70"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</row>
    <row r="135" spans="35:70"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</row>
    <row r="136" spans="35:70"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</row>
    <row r="137" spans="35:70"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</row>
    <row r="138" spans="35:70"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</row>
    <row r="139" spans="35:70"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</row>
    <row r="140" spans="35:70"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</row>
    <row r="141" spans="35:70"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</row>
    <row r="142" spans="35:70"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</row>
    <row r="143" spans="35:70"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</row>
    <row r="144" spans="35:70"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</row>
    <row r="145" spans="35:70"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</row>
    <row r="146" spans="35:70"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</row>
    <row r="147" spans="35:70"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</row>
    <row r="148" spans="35:70"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</row>
    <row r="149" spans="35:70"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</row>
    <row r="150" spans="35:70"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</row>
    <row r="151" spans="35:70"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</row>
    <row r="152" spans="35:70"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</row>
    <row r="153" spans="35:70"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</row>
    <row r="154" spans="35:70"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</row>
    <row r="155" spans="35:70"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</row>
    <row r="156" spans="35:70"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</row>
    <row r="157" spans="35:70"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</row>
    <row r="158" spans="35:70"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</row>
    <row r="159" spans="35:70"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</row>
    <row r="160" spans="35:70"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</row>
    <row r="161" spans="35:70"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</row>
    <row r="162" spans="35:70"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</row>
    <row r="163" spans="35:70"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</row>
    <row r="164" spans="35:70"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</row>
  </sheetData>
  <mergeCells count="41">
    <mergeCell ref="A1:B4"/>
    <mergeCell ref="C1:I4"/>
    <mergeCell ref="J1:M4"/>
    <mergeCell ref="C6:I6"/>
    <mergeCell ref="D11:E14"/>
    <mergeCell ref="F11:F14"/>
    <mergeCell ref="G11:G14"/>
    <mergeCell ref="H11:I14"/>
    <mergeCell ref="J11:M11"/>
    <mergeCell ref="J12:K14"/>
    <mergeCell ref="L19:M22"/>
    <mergeCell ref="L12:M14"/>
    <mergeCell ref="D15:E18"/>
    <mergeCell ref="F15:F18"/>
    <mergeCell ref="G15:G18"/>
    <mergeCell ref="H15:I18"/>
    <mergeCell ref="J15:K18"/>
    <mergeCell ref="L15:M18"/>
    <mergeCell ref="D19:E22"/>
    <mergeCell ref="F19:F22"/>
    <mergeCell ref="G19:G22"/>
    <mergeCell ref="H19:I22"/>
    <mergeCell ref="J19:K22"/>
    <mergeCell ref="L27:M30"/>
    <mergeCell ref="D23:E26"/>
    <mergeCell ref="F23:F26"/>
    <mergeCell ref="G23:G26"/>
    <mergeCell ref="H23:I26"/>
    <mergeCell ref="J23:K26"/>
    <mergeCell ref="L23:M26"/>
    <mergeCell ref="D27:E30"/>
    <mergeCell ref="F27:F30"/>
    <mergeCell ref="G27:G30"/>
    <mergeCell ref="H27:I30"/>
    <mergeCell ref="J27:K30"/>
    <mergeCell ref="L31:M34"/>
    <mergeCell ref="D31:E34"/>
    <mergeCell ref="F31:F34"/>
    <mergeCell ref="G31:G34"/>
    <mergeCell ref="H31:I34"/>
    <mergeCell ref="J31:K34"/>
  </mergeCells>
  <conditionalFormatting sqref="D15:E34">
    <cfRule type="cellIs" dxfId="34" priority="1" operator="greaterThan">
      <formula>"0.5"</formula>
    </cfRule>
    <cfRule type="cellIs" dxfId="33" priority="3" operator="equal">
      <formula>0</formula>
    </cfRule>
  </conditionalFormatting>
  <printOptions horizontalCentered="1" verticalCentered="1"/>
  <pageMargins left="0.27559055118110237" right="0.19685039370078741" top="0.43307086614173229" bottom="0.43307086614173229" header="0.31496062992125984" footer="0.39370078740157483"/>
  <pageSetup paperSize="9" orientation="portrait" horizontalDpi="1200" verticalDpi="1200" r:id="rId1"/>
  <headerFooter alignWithMargins="0">
    <oddHeader>&amp;LPI 3010 Enclosure 1(a) / 09.24</oddHeader>
    <oddFooter xml:space="preserve"><![CDATA[&L_x000D_&1#&"Arial"&10&K000000 [Internal]&R&",Standard"&7    ]]>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B4E77-F1E5-4C40-8974-F8A4B06CBAB4}">
  <sheetPr>
    <pageSetUpPr fitToPage="1"/>
  </sheetPr>
  <dimension ref="A1:BR177"/>
  <sheetViews>
    <sheetView showGridLines="0" topLeftCell="A16" zoomScale="145" zoomScaleNormal="145" zoomScaleSheetLayoutView="115" zoomScalePageLayoutView="85" workbookViewId="0">
      <selection activeCell="J48" sqref="J48"/>
    </sheetView>
  </sheetViews>
  <sheetFormatPr baseColWidth="10" defaultColWidth="11.44140625" defaultRowHeight="12.6"/>
  <cols>
    <col min="1" max="1" customWidth="true" style="2" width="13.33203125"/>
    <col min="2" max="2" customWidth="true" style="2" width="11.5546875"/>
    <col min="3" max="3" customWidth="true" style="2" width="6.33203125"/>
    <col min="4" max="4" customWidth="true" style="4" width="5.5546875"/>
    <col min="5" max="5" customWidth="true" style="4" width="5.6640625"/>
    <col min="6" max="7" customWidth="true" style="2" width="10.6640625"/>
    <col min="8" max="13" customWidth="true" style="2" width="5.5546875"/>
    <col min="14" max="16384" style="2" width="11.44140625"/>
  </cols>
  <sheetData>
    <row r="1" spans="1:70" ht="7.95" customHeight="1">
      <c r="A1" s="325"/>
      <c r="B1" s="326"/>
      <c r="C1" s="331" t="s">
        <v>144</v>
      </c>
      <c r="D1" s="332"/>
      <c r="E1" s="332"/>
      <c r="F1" s="332"/>
      <c r="G1" s="332"/>
      <c r="H1" s="332"/>
      <c r="I1" s="333"/>
      <c r="J1" s="340" t="s">
        <v>193</v>
      </c>
      <c r="K1" s="341"/>
      <c r="L1" s="341"/>
      <c r="M1" s="34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</row>
    <row r="2" spans="1:70" s="30" customFormat="1" ht="15" customHeight="1">
      <c r="A2" s="327"/>
      <c r="B2" s="328"/>
      <c r="C2" s="334"/>
      <c r="D2" s="335"/>
      <c r="E2" s="335"/>
      <c r="F2" s="335"/>
      <c r="G2" s="335"/>
      <c r="H2" s="335"/>
      <c r="I2" s="336"/>
      <c r="J2" s="343"/>
      <c r="K2" s="344"/>
      <c r="L2" s="344"/>
      <c r="M2" s="345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</row>
    <row r="3" spans="1:70" s="30" customFormat="1" ht="17.100000000000001" customHeight="1">
      <c r="A3" s="327"/>
      <c r="B3" s="328"/>
      <c r="C3" s="334"/>
      <c r="D3" s="335"/>
      <c r="E3" s="335"/>
      <c r="F3" s="335"/>
      <c r="G3" s="335"/>
      <c r="H3" s="335"/>
      <c r="I3" s="336"/>
      <c r="J3" s="343"/>
      <c r="K3" s="344"/>
      <c r="L3" s="344"/>
      <c r="M3" s="345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</row>
    <row r="4" spans="1:70" s="30" customFormat="1" ht="14.1" customHeight="1" thickBot="1">
      <c r="A4" s="329"/>
      <c r="B4" s="330"/>
      <c r="C4" s="337"/>
      <c r="D4" s="338"/>
      <c r="E4" s="338"/>
      <c r="F4" s="338"/>
      <c r="G4" s="338"/>
      <c r="H4" s="338"/>
      <c r="I4" s="339"/>
      <c r="J4" s="346"/>
      <c r="K4" s="347"/>
      <c r="L4" s="347"/>
      <c r="M4" s="348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</row>
    <row r="5" spans="1:70" ht="6.75" customHeight="1">
      <c r="A5" s="20"/>
      <c r="B5" s="5"/>
      <c r="C5" s="5"/>
      <c r="D5" s="6"/>
      <c r="E5" s="6"/>
      <c r="F5" s="5"/>
      <c r="G5" s="5"/>
      <c r="H5" s="5"/>
      <c r="I5" s="5"/>
      <c r="J5" s="5"/>
      <c r="K5" s="5"/>
      <c r="L5" s="5"/>
      <c r="M5" s="17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</row>
    <row r="6" spans="1:70" ht="17.399999999999999">
      <c r="A6" s="21"/>
      <c r="B6" s="13"/>
      <c r="C6" s="349" t="s">
        <v>145</v>
      </c>
      <c r="D6" s="349"/>
      <c r="E6" s="349"/>
      <c r="F6" s="349"/>
      <c r="G6" s="349"/>
      <c r="H6" s="349"/>
      <c r="I6" s="349"/>
      <c r="J6" s="258"/>
      <c r="L6" s="13"/>
      <c r="M6" s="18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</row>
    <row r="7" spans="1:70" ht="6" customHeight="1">
      <c r="A7" s="16"/>
      <c r="B7" s="7"/>
      <c r="C7" s="7"/>
      <c r="D7" s="8"/>
      <c r="E7" s="9"/>
      <c r="F7" s="10"/>
      <c r="G7" s="7"/>
      <c r="H7" s="7"/>
      <c r="I7" s="7"/>
      <c r="J7" s="7"/>
      <c r="K7" s="7"/>
      <c r="L7" s="7"/>
      <c r="M7" s="19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</row>
    <row r="8" spans="1:70" ht="12.75" customHeight="1">
      <c r="A8" s="20" t="s">
        <v>146</v>
      </c>
      <c r="B8" s="259"/>
      <c r="C8" s="10"/>
      <c r="D8" s="14"/>
      <c r="F8" s="15" t="s">
        <v>147</v>
      </c>
      <c r="G8" s="5"/>
      <c r="H8" s="5"/>
      <c r="I8" s="5"/>
      <c r="J8" s="10"/>
      <c r="K8" s="11"/>
      <c r="L8" s="12"/>
      <c r="M8" s="17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</row>
    <row r="9" spans="1:70" ht="12.75" customHeight="1">
      <c r="A9" s="21"/>
      <c r="B9" s="259"/>
      <c r="C9" s="10"/>
      <c r="D9" s="14"/>
      <c r="F9" s="15"/>
      <c r="G9" s="5"/>
      <c r="H9" s="5"/>
      <c r="I9" s="5"/>
      <c r="J9" s="10"/>
      <c r="K9" s="11"/>
      <c r="L9" s="12"/>
      <c r="M9" s="17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</row>
    <row r="10" spans="1:70" ht="6.75" customHeight="1" thickBot="1">
      <c r="A10" s="16"/>
      <c r="B10" s="5"/>
      <c r="C10" s="5"/>
      <c r="D10" s="6"/>
      <c r="E10" s="6"/>
      <c r="F10" s="12"/>
      <c r="G10" s="5"/>
      <c r="H10" s="5"/>
      <c r="I10" s="5"/>
      <c r="J10" s="5"/>
      <c r="K10" s="5"/>
      <c r="L10" s="5"/>
      <c r="M10" s="17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</row>
    <row r="11" spans="1:70" ht="12.75" customHeight="1" thickBot="1">
      <c r="A11" s="235" t="s">
        <v>148</v>
      </c>
      <c r="B11" s="236"/>
      <c r="C11" s="237"/>
      <c r="D11" s="350" t="s">
        <v>149</v>
      </c>
      <c r="E11" s="351"/>
      <c r="F11" s="356" t="s">
        <v>150</v>
      </c>
      <c r="G11" s="356" t="s">
        <v>151</v>
      </c>
      <c r="H11" s="359" t="s">
        <v>152</v>
      </c>
      <c r="I11" s="360"/>
      <c r="J11" s="365" t="s">
        <v>153</v>
      </c>
      <c r="K11" s="366"/>
      <c r="L11" s="366"/>
      <c r="M11" s="367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</row>
    <row r="12" spans="1:70" ht="12.75" customHeight="1">
      <c r="A12" s="238" t="s">
        <v>154</v>
      </c>
      <c r="B12" s="239"/>
      <c r="C12" s="240"/>
      <c r="D12" s="352"/>
      <c r="E12" s="353"/>
      <c r="F12" s="357"/>
      <c r="G12" s="357"/>
      <c r="H12" s="361"/>
      <c r="I12" s="362"/>
      <c r="J12" s="359" t="s">
        <v>155</v>
      </c>
      <c r="K12" s="360"/>
      <c r="L12" s="320" t="s">
        <v>156</v>
      </c>
      <c r="M12" s="321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</row>
    <row r="13" spans="1:70" ht="12.75" customHeight="1">
      <c r="A13" s="238" t="s">
        <v>157</v>
      </c>
      <c r="B13" s="239"/>
      <c r="C13" s="240"/>
      <c r="D13" s="352"/>
      <c r="E13" s="353"/>
      <c r="F13" s="357"/>
      <c r="G13" s="357"/>
      <c r="H13" s="361"/>
      <c r="I13" s="362"/>
      <c r="J13" s="368"/>
      <c r="K13" s="369"/>
      <c r="L13" s="322"/>
      <c r="M13" s="323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</row>
    <row r="14" spans="1:70" ht="12.75" customHeight="1">
      <c r="A14" s="241" t="s">
        <v>158</v>
      </c>
      <c r="B14" s="242"/>
      <c r="C14" s="243"/>
      <c r="D14" s="354"/>
      <c r="E14" s="355"/>
      <c r="F14" s="358"/>
      <c r="G14" s="358"/>
      <c r="H14" s="363"/>
      <c r="I14" s="364"/>
      <c r="J14" s="361"/>
      <c r="K14" s="369"/>
      <c r="L14" s="324"/>
      <c r="M14" s="323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</row>
    <row r="15" spans="1:70" ht="12.75" customHeight="1">
      <c r="A15" s="244" t="s">
        <v>172</v>
      </c>
      <c r="B15" s="245"/>
      <c r="C15" s="246"/>
      <c r="D15" s="443">
        <v>0</v>
      </c>
      <c r="E15" s="444"/>
      <c r="F15" s="315">
        <v>0</v>
      </c>
      <c r="G15" s="315">
        <v>0</v>
      </c>
      <c r="H15" s="308">
        <v>1</v>
      </c>
      <c r="I15" s="302"/>
      <c r="J15" s="301" t="s">
        <v>20</v>
      </c>
      <c r="K15" s="312"/>
      <c r="L15" s="290"/>
      <c r="M15" s="291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</row>
    <row r="16" spans="1:70" ht="12.75" customHeight="1">
      <c r="A16" s="247" t="s">
        <v>173</v>
      </c>
      <c r="B16" s="248"/>
      <c r="C16" s="249"/>
      <c r="D16" s="445"/>
      <c r="E16" s="446"/>
      <c r="F16" s="298"/>
      <c r="G16" s="298"/>
      <c r="H16" s="303"/>
      <c r="I16" s="304"/>
      <c r="J16" s="303"/>
      <c r="K16" s="313"/>
      <c r="L16" s="292"/>
      <c r="M16" s="293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</row>
    <row r="17" spans="1:70" ht="12.75" customHeight="1">
      <c r="A17" s="260">
        <v>46084</v>
      </c>
      <c r="B17" s="248"/>
      <c r="C17" s="249"/>
      <c r="D17" s="456"/>
      <c r="E17" s="457"/>
      <c r="F17" s="299"/>
      <c r="G17" s="299"/>
      <c r="H17" s="305"/>
      <c r="I17" s="304"/>
      <c r="J17" s="305"/>
      <c r="K17" s="313"/>
      <c r="L17" s="294"/>
      <c r="M17" s="293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</row>
    <row r="18" spans="1:70" ht="12.75" customHeight="1">
      <c r="A18" s="250">
        <v>115335</v>
      </c>
      <c r="B18" s="251"/>
      <c r="C18" s="252"/>
      <c r="D18" s="458"/>
      <c r="E18" s="459"/>
      <c r="F18" s="300"/>
      <c r="G18" s="300"/>
      <c r="H18" s="306"/>
      <c r="I18" s="307"/>
      <c r="J18" s="306"/>
      <c r="K18" s="314"/>
      <c r="L18" s="295"/>
      <c r="M18" s="296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</row>
    <row r="19" spans="1:70" ht="12.75" customHeight="1">
      <c r="A19" s="244" t="s">
        <v>174</v>
      </c>
      <c r="B19" s="245"/>
      <c r="C19" s="246"/>
      <c r="D19" s="443">
        <v>0</v>
      </c>
      <c r="E19" s="444"/>
      <c r="F19" s="315">
        <v>0</v>
      </c>
      <c r="G19" s="315">
        <v>0</v>
      </c>
      <c r="H19" s="308">
        <v>1</v>
      </c>
      <c r="I19" s="302"/>
      <c r="J19" s="301" t="s">
        <v>20</v>
      </c>
      <c r="K19" s="312"/>
      <c r="L19" s="290"/>
      <c r="M19" s="291"/>
      <c r="P19" s="229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</row>
    <row r="20" spans="1:70" ht="12.75" customHeight="1">
      <c r="A20" s="247" t="s">
        <v>175</v>
      </c>
      <c r="B20" s="248"/>
      <c r="C20" s="249"/>
      <c r="D20" s="445"/>
      <c r="E20" s="446"/>
      <c r="F20" s="455"/>
      <c r="G20" s="298"/>
      <c r="H20" s="303"/>
      <c r="I20" s="304"/>
      <c r="J20" s="303"/>
      <c r="K20" s="313"/>
      <c r="L20" s="292"/>
      <c r="M20" s="293"/>
      <c r="P20" s="229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</row>
    <row r="21" spans="1:70" customFormat="1" ht="12.75" customHeight="1">
      <c r="A21" s="260">
        <v>46090</v>
      </c>
      <c r="B21" s="248"/>
      <c r="C21" s="249"/>
      <c r="D21" s="456"/>
      <c r="E21" s="457"/>
      <c r="F21" s="299"/>
      <c r="G21" s="299"/>
      <c r="H21" s="305"/>
      <c r="I21" s="304"/>
      <c r="J21" s="305"/>
      <c r="K21" s="313"/>
      <c r="L21" s="294"/>
      <c r="M21" s="293"/>
    </row>
    <row r="22" spans="1:70" customFormat="1" ht="12.75" customHeight="1">
      <c r="A22" s="250">
        <v>115335</v>
      </c>
      <c r="B22" s="251"/>
      <c r="C22" s="252"/>
      <c r="D22" s="458"/>
      <c r="E22" s="459"/>
      <c r="F22" s="300"/>
      <c r="G22" s="300"/>
      <c r="H22" s="306"/>
      <c r="I22" s="307"/>
      <c r="J22" s="306"/>
      <c r="K22" s="314"/>
      <c r="L22" s="295"/>
      <c r="M22" s="296"/>
      <c r="O22" s="287"/>
    </row>
    <row r="23" spans="1:70" ht="12.75" customHeight="1">
      <c r="A23" s="244" t="s">
        <v>177</v>
      </c>
      <c r="B23" s="245"/>
      <c r="C23" s="246"/>
      <c r="D23" s="460">
        <v>1.1000000000000001</v>
      </c>
      <c r="E23" s="461"/>
      <c r="F23" s="315">
        <v>2</v>
      </c>
      <c r="G23" s="315">
        <v>200</v>
      </c>
      <c r="H23" s="308">
        <v>0.8</v>
      </c>
      <c r="I23" s="302"/>
      <c r="J23" s="301" t="s">
        <v>20</v>
      </c>
      <c r="K23" s="312"/>
      <c r="L23" s="290"/>
      <c r="M23" s="291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</row>
    <row r="24" spans="1:70" ht="12.75" customHeight="1">
      <c r="A24" s="247" t="s">
        <v>176</v>
      </c>
      <c r="B24" s="248"/>
      <c r="C24" s="249"/>
      <c r="D24" s="462"/>
      <c r="E24" s="463"/>
      <c r="F24" s="298"/>
      <c r="G24" s="298"/>
      <c r="H24" s="303"/>
      <c r="I24" s="304"/>
      <c r="J24" s="303"/>
      <c r="K24" s="313"/>
      <c r="L24" s="292"/>
      <c r="M24" s="293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</row>
    <row r="25" spans="1:70" ht="12.75" customHeight="1">
      <c r="A25" s="260">
        <v>46092</v>
      </c>
      <c r="B25" s="248"/>
      <c r="C25" s="249"/>
      <c r="D25" s="464"/>
      <c r="E25" s="465"/>
      <c r="F25" s="299"/>
      <c r="G25" s="299"/>
      <c r="H25" s="305"/>
      <c r="I25" s="304"/>
      <c r="J25" s="305"/>
      <c r="K25" s="313"/>
      <c r="L25" s="294"/>
      <c r="M25" s="293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</row>
    <row r="26" spans="1:70" ht="12.75" customHeight="1">
      <c r="A26" s="250">
        <v>115335</v>
      </c>
      <c r="B26" s="251"/>
      <c r="C26" s="252"/>
      <c r="D26" s="466"/>
      <c r="E26" s="467"/>
      <c r="F26" s="300"/>
      <c r="G26" s="300"/>
      <c r="H26" s="306"/>
      <c r="I26" s="307"/>
      <c r="J26" s="306"/>
      <c r="K26" s="314"/>
      <c r="L26" s="295"/>
      <c r="M26" s="296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</row>
    <row r="27" spans="1:70" ht="12.75" customHeight="1">
      <c r="A27" s="244" t="s">
        <v>194</v>
      </c>
      <c r="B27" s="245"/>
      <c r="C27" s="246"/>
      <c r="D27" s="443">
        <v>0</v>
      </c>
      <c r="E27" s="444"/>
      <c r="F27" s="315">
        <v>0</v>
      </c>
      <c r="G27" s="315">
        <v>0</v>
      </c>
      <c r="H27" s="308">
        <v>4</v>
      </c>
      <c r="I27" s="302"/>
      <c r="J27" s="301" t="s">
        <v>20</v>
      </c>
      <c r="K27" s="312"/>
      <c r="L27" s="290"/>
      <c r="M27" s="291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</row>
    <row r="28" spans="1:70" ht="12.75" customHeight="1">
      <c r="A28" s="247" t="s">
        <v>195</v>
      </c>
      <c r="B28" s="248"/>
      <c r="C28" s="249"/>
      <c r="D28" s="445"/>
      <c r="E28" s="446"/>
      <c r="F28" s="298"/>
      <c r="G28" s="298"/>
      <c r="H28" s="303"/>
      <c r="I28" s="304"/>
      <c r="J28" s="303"/>
      <c r="K28" s="313"/>
      <c r="L28" s="292"/>
      <c r="M28" s="293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</row>
    <row r="29" spans="1:70" customFormat="1" ht="12.75" customHeight="1">
      <c r="A29" s="260">
        <v>46105</v>
      </c>
      <c r="B29" s="248"/>
      <c r="C29" s="249"/>
      <c r="D29" s="456"/>
      <c r="E29" s="457"/>
      <c r="F29" s="299"/>
      <c r="G29" s="299"/>
      <c r="H29" s="305"/>
      <c r="I29" s="304"/>
      <c r="J29" s="305"/>
      <c r="K29" s="313"/>
      <c r="L29" s="294"/>
      <c r="M29" s="293"/>
    </row>
    <row r="30" spans="1:70" customFormat="1" ht="12.75" customHeight="1">
      <c r="A30" s="250">
        <v>115351</v>
      </c>
      <c r="B30" s="251"/>
      <c r="C30" s="252"/>
      <c r="D30" s="458"/>
      <c r="E30" s="459"/>
      <c r="F30" s="300"/>
      <c r="G30" s="300"/>
      <c r="H30" s="306"/>
      <c r="I30" s="307"/>
      <c r="J30" s="306"/>
      <c r="K30" s="314"/>
      <c r="L30" s="295"/>
      <c r="M30" s="296"/>
    </row>
    <row r="31" spans="1:70" ht="12.75" customHeight="1">
      <c r="A31" s="244" t="s">
        <v>196</v>
      </c>
      <c r="B31" s="245"/>
      <c r="C31" s="246"/>
      <c r="D31" s="443">
        <v>0</v>
      </c>
      <c r="E31" s="444"/>
      <c r="F31" s="315">
        <v>0</v>
      </c>
      <c r="G31" s="315">
        <v>0</v>
      </c>
      <c r="H31" s="308">
        <v>1</v>
      </c>
      <c r="I31" s="302"/>
      <c r="J31" s="301" t="s">
        <v>20</v>
      </c>
      <c r="K31" s="312"/>
      <c r="L31" s="290"/>
      <c r="M31" s="291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</row>
    <row r="32" spans="1:70" ht="12.75" customHeight="1">
      <c r="A32" s="247" t="s">
        <v>197</v>
      </c>
      <c r="B32" s="248"/>
      <c r="C32" s="249"/>
      <c r="D32" s="445"/>
      <c r="E32" s="446"/>
      <c r="F32" s="298"/>
      <c r="G32" s="298"/>
      <c r="H32" s="303"/>
      <c r="I32" s="304"/>
      <c r="J32" s="303"/>
      <c r="K32" s="313"/>
      <c r="L32" s="292"/>
      <c r="M32" s="293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</row>
    <row r="33" spans="1:70" ht="12.75" customHeight="1">
      <c r="A33" s="260">
        <v>46104</v>
      </c>
      <c r="B33" s="248"/>
      <c r="C33" s="249"/>
      <c r="D33" s="456"/>
      <c r="E33" s="457"/>
      <c r="F33" s="299"/>
      <c r="G33" s="299"/>
      <c r="H33" s="305"/>
      <c r="I33" s="304"/>
      <c r="J33" s="305"/>
      <c r="K33" s="313"/>
      <c r="L33" s="294"/>
      <c r="M33" s="293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</row>
    <row r="34" spans="1:70" ht="12.75" customHeight="1">
      <c r="A34" s="250">
        <v>115351</v>
      </c>
      <c r="B34" s="251"/>
      <c r="C34" s="252"/>
      <c r="D34" s="458"/>
      <c r="E34" s="459"/>
      <c r="F34" s="300"/>
      <c r="G34" s="300"/>
      <c r="H34" s="306"/>
      <c r="I34" s="307"/>
      <c r="J34" s="306"/>
      <c r="K34" s="314"/>
      <c r="L34" s="295"/>
      <c r="M34" s="296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</row>
    <row r="35" spans="1:70" ht="12.75" customHeight="1">
      <c r="A35" s="244" t="s">
        <v>198</v>
      </c>
      <c r="B35" s="245"/>
      <c r="C35" s="246"/>
      <c r="D35" s="443">
        <v>0</v>
      </c>
      <c r="E35" s="444"/>
      <c r="F35" s="315">
        <v>0</v>
      </c>
      <c r="G35" s="315">
        <v>0</v>
      </c>
      <c r="H35" s="308">
        <v>0.7</v>
      </c>
      <c r="I35" s="302"/>
      <c r="J35" s="301" t="s">
        <v>20</v>
      </c>
      <c r="K35" s="312"/>
      <c r="L35" s="290"/>
      <c r="M35" s="291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</row>
    <row r="36" spans="1:70" ht="12.75" customHeight="1">
      <c r="A36" s="247" t="s">
        <v>199</v>
      </c>
      <c r="B36" s="248"/>
      <c r="C36" s="249"/>
      <c r="D36" s="445"/>
      <c r="E36" s="446"/>
      <c r="F36" s="298"/>
      <c r="G36" s="298"/>
      <c r="H36" s="303"/>
      <c r="I36" s="304"/>
      <c r="J36" s="303"/>
      <c r="K36" s="313"/>
      <c r="L36" s="292"/>
      <c r="M36" s="293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</row>
    <row r="37" spans="1:70" ht="12.75" customHeight="1">
      <c r="A37" s="260">
        <v>46104</v>
      </c>
      <c r="B37" s="248"/>
      <c r="C37" s="249"/>
      <c r="D37" s="456"/>
      <c r="E37" s="457"/>
      <c r="F37" s="299"/>
      <c r="G37" s="299"/>
      <c r="H37" s="305"/>
      <c r="I37" s="304"/>
      <c r="J37" s="305"/>
      <c r="K37" s="313"/>
      <c r="L37" s="294"/>
      <c r="M37" s="293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</row>
    <row r="38" spans="1:70" ht="12.75" customHeight="1">
      <c r="A38" s="250">
        <v>115358</v>
      </c>
      <c r="B38" s="251"/>
      <c r="C38" s="252"/>
      <c r="D38" s="458"/>
      <c r="E38" s="459"/>
      <c r="F38" s="300"/>
      <c r="G38" s="300"/>
      <c r="H38" s="306"/>
      <c r="I38" s="307"/>
      <c r="J38" s="306"/>
      <c r="K38" s="314"/>
      <c r="L38" s="295"/>
      <c r="M38" s="296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</row>
    <row r="39" spans="1:70" customFormat="1" ht="12.75" hidden="1" customHeight="1">
      <c r="A39" s="220"/>
      <c r="B39" s="222"/>
      <c r="C39" s="221"/>
      <c r="D39" s="218"/>
      <c r="E39" s="219"/>
      <c r="F39" s="211"/>
      <c r="G39" s="212"/>
      <c r="H39" s="230"/>
      <c r="I39" s="231"/>
      <c r="J39" s="213"/>
      <c r="K39" s="214"/>
      <c r="L39" s="214"/>
      <c r="M39" s="215"/>
    </row>
    <row r="40" spans="1:70" ht="12.75" customHeight="1">
      <c r="A40" s="244" t="s">
        <v>200</v>
      </c>
      <c r="B40" s="245"/>
      <c r="C40" s="246"/>
      <c r="D40" s="443">
        <v>0</v>
      </c>
      <c r="E40" s="444"/>
      <c r="F40" s="315">
        <v>0</v>
      </c>
      <c r="G40" s="315">
        <v>0</v>
      </c>
      <c r="H40" s="308">
        <v>1</v>
      </c>
      <c r="I40" s="302"/>
      <c r="J40" s="301" t="s">
        <v>20</v>
      </c>
      <c r="K40" s="312"/>
      <c r="L40" s="290"/>
      <c r="M40" s="291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</row>
    <row r="41" spans="1:70" ht="12.75" customHeight="1">
      <c r="A41" s="247" t="s">
        <v>201</v>
      </c>
      <c r="B41" s="248"/>
      <c r="C41" s="249"/>
      <c r="D41" s="445"/>
      <c r="E41" s="446"/>
      <c r="F41" s="298"/>
      <c r="G41" s="298"/>
      <c r="H41" s="303"/>
      <c r="I41" s="304"/>
      <c r="J41" s="303"/>
      <c r="K41" s="313"/>
      <c r="L41" s="292"/>
      <c r="M41" s="293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</row>
    <row r="42" spans="1:70" ht="12.75" customHeight="1">
      <c r="A42" s="260">
        <v>46084</v>
      </c>
      <c r="B42" s="248"/>
      <c r="C42" s="249"/>
      <c r="D42" s="456"/>
      <c r="E42" s="457"/>
      <c r="F42" s="299"/>
      <c r="G42" s="299"/>
      <c r="H42" s="305"/>
      <c r="I42" s="304"/>
      <c r="J42" s="305"/>
      <c r="K42" s="313"/>
      <c r="L42" s="294"/>
      <c r="M42" s="293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</row>
    <row r="43" spans="1:70" ht="12.75" customHeight="1">
      <c r="A43" s="250">
        <v>115358</v>
      </c>
      <c r="B43" s="251"/>
      <c r="C43" s="252"/>
      <c r="D43" s="458"/>
      <c r="E43" s="459"/>
      <c r="F43" s="300"/>
      <c r="G43" s="300"/>
      <c r="H43" s="306"/>
      <c r="I43" s="307"/>
      <c r="J43" s="306"/>
      <c r="K43" s="314"/>
      <c r="L43" s="295"/>
      <c r="M43" s="296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</row>
    <row r="44" spans="1:70" ht="12.75" customHeight="1">
      <c r="A44" s="244" t="s">
        <v>177</v>
      </c>
      <c r="B44" s="245"/>
      <c r="C44" s="246"/>
      <c r="D44" s="443">
        <v>0</v>
      </c>
      <c r="E44" s="444"/>
      <c r="F44" s="315">
        <v>0</v>
      </c>
      <c r="G44" s="315">
        <v>0</v>
      </c>
      <c r="H44" s="308">
        <v>0.8</v>
      </c>
      <c r="I44" s="302"/>
      <c r="J44" s="301" t="s">
        <v>20</v>
      </c>
      <c r="K44" s="312"/>
      <c r="L44" s="290"/>
      <c r="M44" s="291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</row>
    <row r="45" spans="1:70" ht="12.75" customHeight="1">
      <c r="A45" s="247" t="s">
        <v>176</v>
      </c>
      <c r="B45" s="248"/>
      <c r="C45" s="249"/>
      <c r="D45" s="445"/>
      <c r="E45" s="446"/>
      <c r="F45" s="298"/>
      <c r="G45" s="298"/>
      <c r="H45" s="303"/>
      <c r="I45" s="304"/>
      <c r="J45" s="303"/>
      <c r="K45" s="313"/>
      <c r="L45" s="292"/>
      <c r="M45" s="293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</row>
    <row r="46" spans="1:70" ht="12.75" customHeight="1">
      <c r="A46" s="260">
        <v>46092</v>
      </c>
      <c r="B46" s="248"/>
      <c r="C46" s="249"/>
      <c r="D46" s="456"/>
      <c r="E46" s="457"/>
      <c r="F46" s="299"/>
      <c r="G46" s="299"/>
      <c r="H46" s="305"/>
      <c r="I46" s="304"/>
      <c r="J46" s="305"/>
      <c r="K46" s="313"/>
      <c r="L46" s="294"/>
      <c r="M46" s="293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</row>
    <row r="47" spans="1:70" ht="12.75" customHeight="1">
      <c r="A47" s="250">
        <v>115335</v>
      </c>
      <c r="B47" s="251"/>
      <c r="C47" s="252"/>
      <c r="D47" s="458"/>
      <c r="E47" s="459"/>
      <c r="F47" s="300"/>
      <c r="G47" s="300"/>
      <c r="H47" s="306"/>
      <c r="I47" s="307"/>
      <c r="J47" s="306"/>
      <c r="K47" s="314"/>
      <c r="L47" s="295"/>
      <c r="M47" s="296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</row>
    <row r="48" spans="1:70" ht="6.75" customHeight="1" thickBot="1">
      <c r="A48" s="233"/>
      <c r="B48" s="234"/>
      <c r="C48" s="234"/>
      <c r="D48" s="255"/>
      <c r="E48" s="255"/>
      <c r="F48" s="256"/>
      <c r="G48" s="256"/>
      <c r="H48" s="256"/>
      <c r="I48" s="256"/>
      <c r="J48" s="257"/>
      <c r="K48" s="257"/>
      <c r="L48" s="257"/>
      <c r="M48" s="23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</row>
    <row r="49" spans="1:70" ht="15" customHeight="1" thickBot="1">
      <c r="A49" s="22"/>
      <c r="B49" s="29" t="s">
        <v>159</v>
      </c>
      <c r="C49" s="2"/>
      <c r="D49" s="261">
        <v>0</v>
      </c>
      <c r="E49" s="227"/>
      <c r="F49" s="227"/>
      <c r="G49" s="253"/>
      <c r="H49" s="216"/>
      <c r="I49" s="217"/>
      <c r="J49" s="254"/>
      <c r="K49" s="254"/>
      <c r="L49" s="254"/>
      <c r="M49" s="24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</row>
    <row r="50" spans="1:70" ht="15" customHeight="1" thickBot="1">
      <c r="A50" s="23"/>
      <c r="B50" s="29" t="s">
        <v>160</v>
      </c>
      <c r="C50" s="2"/>
      <c r="D50" s="286">
        <f>AVERAGE(D15:E47)</f>
        <v>0.13750000000000001</v>
      </c>
      <c r="E50" s="228"/>
      <c r="F50" s="35" t="s">
        <v>161</v>
      </c>
      <c r="G50" s="288">
        <f>(SUM(G15:G47))*D50</f>
        <v>27.500000000000004</v>
      </c>
      <c r="H50" s="2"/>
      <c r="I50" s="2"/>
      <c r="J50" s="2"/>
      <c r="K50" s="2"/>
      <c r="L50" s="2"/>
      <c r="M50" s="225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</row>
    <row r="51" spans="1:70" ht="15" customHeight="1" thickBot="1">
      <c r="A51" s="23"/>
      <c r="B51" s="29" t="s">
        <v>162</v>
      </c>
      <c r="C51" s="2"/>
      <c r="D51" s="226">
        <v>1.1000000000000001</v>
      </c>
      <c r="E51" s="4"/>
      <c r="F51" s="2"/>
      <c r="G51" s="2"/>
      <c r="H51" s="33"/>
      <c r="I51" s="33"/>
      <c r="J51" s="2"/>
      <c r="K51" s="2"/>
      <c r="L51" s="2"/>
      <c r="M51" s="24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</row>
    <row r="52" spans="1:70" ht="15" customHeight="1">
      <c r="A52" s="23"/>
      <c r="B52" s="29"/>
      <c r="C52" s="2"/>
      <c r="D52" s="4"/>
      <c r="E52" s="4"/>
      <c r="F52" s="35"/>
      <c r="G52" s="33"/>
      <c r="H52" s="33"/>
      <c r="I52" s="33"/>
      <c r="J52" s="2"/>
      <c r="K52" s="2"/>
      <c r="L52" s="2"/>
      <c r="M52" s="24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</row>
    <row r="53" spans="1:70" s="34" customFormat="1" ht="15" customHeight="1">
      <c r="A53" s="36" t="s">
        <v>163</v>
      </c>
      <c r="B53" s="37"/>
      <c r="C53" s="38" t="s">
        <v>164</v>
      </c>
      <c r="D53" s="32"/>
      <c r="E53" s="4"/>
      <c r="F53" s="28"/>
      <c r="G53" s="33"/>
      <c r="H53" s="33"/>
      <c r="I53" s="33"/>
      <c r="J53" s="2"/>
      <c r="K53" s="2"/>
      <c r="L53" s="2"/>
      <c r="M53" s="24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</row>
    <row r="54" spans="1:70" ht="14.4" customHeight="1" thickBot="1">
      <c r="A54" s="25"/>
      <c r="B54" s="26"/>
      <c r="C54" s="27"/>
      <c r="D54" s="223"/>
      <c r="E54" s="223"/>
      <c r="F54" s="223"/>
      <c r="G54" s="223"/>
      <c r="H54" s="223"/>
      <c r="I54" s="223"/>
      <c r="J54" s="223"/>
      <c r="K54" s="223"/>
      <c r="L54" s="223"/>
      <c r="M54" s="224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</row>
    <row r="55" spans="1:70" ht="4.5" customHeight="1">
      <c r="A55" s="1"/>
      <c r="B55" s="1"/>
      <c r="C55" s="1"/>
      <c r="D55" s="3"/>
      <c r="E55" s="3"/>
      <c r="F55" s="1"/>
      <c r="G55" s="1"/>
      <c r="H55" s="1"/>
      <c r="I55" s="1"/>
      <c r="J55" s="1"/>
      <c r="K55" s="1"/>
      <c r="L55" s="1"/>
      <c r="M55" s="1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</row>
    <row r="56" spans="1:70" ht="12.75" customHeight="1"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</row>
    <row r="57" spans="1:70"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</row>
    <row r="58" spans="1:70"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</row>
    <row r="59" spans="1:70"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</row>
    <row r="60" spans="1:70"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</row>
    <row r="61" spans="1:70"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</row>
    <row r="62" spans="1:70"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</row>
    <row r="63" spans="1:70"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</row>
    <row r="64" spans="1:70"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</row>
    <row r="65" spans="35:70"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</row>
    <row r="66" spans="35:70"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</row>
    <row r="67" spans="35:70"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</row>
    <row r="68" spans="35:70"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</row>
    <row r="69" spans="35:70"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</row>
    <row r="70" spans="35:70"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</row>
    <row r="71" spans="35:70"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</row>
    <row r="72" spans="35:70"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</row>
    <row r="73" spans="35:70"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</row>
    <row r="74" spans="35:70"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</row>
    <row r="75" spans="35:70"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</row>
    <row r="76" spans="35:70"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</row>
    <row r="77" spans="35:70"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</row>
    <row r="78" spans="35:70"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</row>
    <row r="79" spans="35:70"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</row>
    <row r="80" spans="35:70"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</row>
    <row r="81" spans="35:70"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</row>
    <row r="82" spans="35:70"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</row>
    <row r="83" spans="35:70"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</row>
    <row r="84" spans="35:70"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</row>
    <row r="85" spans="35:70"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</row>
    <row r="86" spans="35:70"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</row>
    <row r="87" spans="35:70"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</row>
    <row r="88" spans="35:70"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</row>
    <row r="89" spans="35:70"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</row>
    <row r="90" spans="35:70"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</row>
    <row r="91" spans="35:70"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</row>
    <row r="92" spans="35:70"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</row>
    <row r="93" spans="35:70"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</row>
    <row r="94" spans="35:70"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</row>
    <row r="95" spans="35:70"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</row>
    <row r="96" spans="35:70"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</row>
    <row r="97" spans="35:70"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</row>
    <row r="98" spans="35:70"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</row>
    <row r="99" spans="35:70"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</row>
    <row r="100" spans="35:70"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</row>
    <row r="101" spans="35:70"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</row>
    <row r="102" spans="35:70"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</row>
    <row r="103" spans="35:70"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</row>
    <row r="104" spans="35:70"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</row>
    <row r="105" spans="35:70"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</row>
    <row r="106" spans="35:70"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</row>
    <row r="107" spans="35:70"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</row>
    <row r="108" spans="35:70"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</row>
    <row r="109" spans="35:70"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</row>
    <row r="110" spans="35:70"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</row>
    <row r="111" spans="35:70"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</row>
    <row r="112" spans="35:70"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</row>
    <row r="113" spans="35:70"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</row>
    <row r="114" spans="35:70"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</row>
    <row r="115" spans="35:70"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</row>
    <row r="116" spans="35:70"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</row>
    <row r="117" spans="35:70"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</row>
    <row r="118" spans="35:70"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</row>
    <row r="119" spans="35:70"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</row>
    <row r="120" spans="35:70"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</row>
    <row r="121" spans="35:70"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</row>
    <row r="122" spans="35:70"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</row>
    <row r="123" spans="35:70"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</row>
    <row r="124" spans="35:70"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</row>
    <row r="125" spans="35:70"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</row>
    <row r="126" spans="35:70"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</row>
    <row r="127" spans="35:70"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</row>
    <row r="128" spans="35:70"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</row>
    <row r="129" spans="35:70"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</row>
    <row r="130" spans="35:70"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</row>
    <row r="131" spans="35:70"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</row>
    <row r="132" spans="35:70"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</row>
    <row r="133" spans="35:70"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</row>
    <row r="134" spans="35:70"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</row>
    <row r="135" spans="35:70"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</row>
    <row r="136" spans="35:70"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</row>
    <row r="137" spans="35:70"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</row>
    <row r="138" spans="35:70"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</row>
    <row r="139" spans="35:70"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</row>
    <row r="140" spans="35:70"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</row>
    <row r="141" spans="35:70"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</row>
    <row r="142" spans="35:70"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</row>
    <row r="143" spans="35:70"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</row>
    <row r="144" spans="35:70"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</row>
    <row r="145" spans="35:70"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</row>
    <row r="146" spans="35:70"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</row>
    <row r="147" spans="35:70"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</row>
    <row r="148" spans="35:70"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</row>
    <row r="149" spans="35:70"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</row>
    <row r="150" spans="35:70"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</row>
    <row r="151" spans="35:70"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</row>
    <row r="152" spans="35:70"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</row>
    <row r="153" spans="35:70"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</row>
    <row r="154" spans="35:70"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</row>
    <row r="155" spans="35:70"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</row>
    <row r="156" spans="35:70"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</row>
    <row r="157" spans="35:70"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</row>
    <row r="158" spans="35:70"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</row>
    <row r="159" spans="35:70"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</row>
    <row r="160" spans="35:70"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</row>
    <row r="161" spans="35:70"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</row>
    <row r="162" spans="35:70"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</row>
    <row r="163" spans="35:70"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</row>
    <row r="164" spans="35:70"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</row>
    <row r="165" spans="35:70"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</row>
    <row r="166" spans="35:70"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</row>
    <row r="167" spans="35:70"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</row>
    <row r="168" spans="35:70"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</row>
    <row r="169" spans="35:70"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</row>
    <row r="170" spans="35:70"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</row>
    <row r="171" spans="35:70"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</row>
    <row r="172" spans="35:70"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</row>
    <row r="173" spans="35:70"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</row>
    <row r="174" spans="35:70"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</row>
    <row r="175" spans="35:70"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</row>
    <row r="176" spans="35:70"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</row>
    <row r="177" spans="35:70"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</row>
  </sheetData>
  <mergeCells count="59">
    <mergeCell ref="L40:M43"/>
    <mergeCell ref="D40:E43"/>
    <mergeCell ref="F40:F43"/>
    <mergeCell ref="G40:G43"/>
    <mergeCell ref="H40:I43"/>
    <mergeCell ref="J40:K43"/>
    <mergeCell ref="A1:B4"/>
    <mergeCell ref="C1:I4"/>
    <mergeCell ref="J1:M4"/>
    <mergeCell ref="C6:I6"/>
    <mergeCell ref="D11:E14"/>
    <mergeCell ref="F11:F14"/>
    <mergeCell ref="G11:G14"/>
    <mergeCell ref="H11:I14"/>
    <mergeCell ref="J11:M11"/>
    <mergeCell ref="J12:K14"/>
    <mergeCell ref="L19:M22"/>
    <mergeCell ref="L12:M14"/>
    <mergeCell ref="D15:E18"/>
    <mergeCell ref="F15:F18"/>
    <mergeCell ref="G15:G18"/>
    <mergeCell ref="H15:I18"/>
    <mergeCell ref="J15:K18"/>
    <mergeCell ref="L15:M18"/>
    <mergeCell ref="D19:E22"/>
    <mergeCell ref="F19:F22"/>
    <mergeCell ref="G19:G22"/>
    <mergeCell ref="H19:I22"/>
    <mergeCell ref="J19:K22"/>
    <mergeCell ref="L23:M26"/>
    <mergeCell ref="D23:E26"/>
    <mergeCell ref="F23:F26"/>
    <mergeCell ref="G23:G26"/>
    <mergeCell ref="H23:I26"/>
    <mergeCell ref="J23:K26"/>
    <mergeCell ref="L31:M34"/>
    <mergeCell ref="D27:E30"/>
    <mergeCell ref="F27:F30"/>
    <mergeCell ref="G27:G30"/>
    <mergeCell ref="H27:I30"/>
    <mergeCell ref="J27:K30"/>
    <mergeCell ref="L27:M30"/>
    <mergeCell ref="D31:E34"/>
    <mergeCell ref="F31:F34"/>
    <mergeCell ref="G31:G34"/>
    <mergeCell ref="H31:I34"/>
    <mergeCell ref="J31:K34"/>
    <mergeCell ref="L35:M38"/>
    <mergeCell ref="D35:E38"/>
    <mergeCell ref="F35:F38"/>
    <mergeCell ref="G35:G38"/>
    <mergeCell ref="H35:I38"/>
    <mergeCell ref="J35:K38"/>
    <mergeCell ref="L44:M47"/>
    <mergeCell ref="D44:E47"/>
    <mergeCell ref="F44:F47"/>
    <mergeCell ref="G44:G47"/>
    <mergeCell ref="H44:I47"/>
    <mergeCell ref="J44:K47"/>
  </mergeCells>
  <conditionalFormatting sqref="D15:E38">
    <cfRule type="cellIs" dxfId="32" priority="7" operator="greaterThan">
      <formula>"0.5"</formula>
    </cfRule>
    <cfRule type="cellIs" dxfId="31" priority="8" operator="between">
      <formula>"0.1"</formula>
      <formula>"0.5"</formula>
    </cfRule>
    <cfRule type="cellIs" dxfId="30" priority="9" operator="equal">
      <formula>0</formula>
    </cfRule>
  </conditionalFormatting>
  <conditionalFormatting sqref="D40:E47">
    <cfRule type="cellIs" dxfId="29" priority="1" operator="greaterThan">
      <formula>"0.5"</formula>
    </cfRule>
    <cfRule type="cellIs" dxfId="28" priority="2" operator="between">
      <formula>"0.1"</formula>
      <formula>"0.5"</formula>
    </cfRule>
    <cfRule type="cellIs" dxfId="27" priority="3" operator="equal">
      <formula>0</formula>
    </cfRule>
  </conditionalFormatting>
  <printOptions horizontalCentered="1" verticalCentered="1"/>
  <pageMargins left="0.27559055118110237" right="0.19685039370078741" top="0.43307086614173229" bottom="0.43307086614173229" header="0.31496062992125984" footer="0.39370078740157483"/>
  <pageSetup paperSize="9" orientation="portrait" horizontalDpi="1200" verticalDpi="1200" r:id="rId1"/>
  <headerFooter alignWithMargins="0">
    <oddHeader>&amp;LPI 3010 Enclosure 1(a) / 09.24</oddHeader>
    <oddFooter xml:space="preserve"><![CDATA[&L_x000D_&1#&"Arial"&10&K000000 [Internal]&R&",Standard"&7    ]]>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C5B144-CADD-4658-8FD0-9EF3B64ECFE8}">
  <sheetPr>
    <pageSetUpPr fitToPage="1"/>
  </sheetPr>
  <dimension ref="A1:BR168"/>
  <sheetViews>
    <sheetView showGridLines="0" zoomScale="130" zoomScaleNormal="130" zoomScaleSheetLayoutView="115" zoomScalePageLayoutView="85" workbookViewId="0">
      <selection activeCell="P37" sqref="P37"/>
    </sheetView>
  </sheetViews>
  <sheetFormatPr baseColWidth="10" defaultColWidth="11.44140625" defaultRowHeight="12.6"/>
  <cols>
    <col min="1" max="1" customWidth="true" style="2" width="13.33203125"/>
    <col min="2" max="2" customWidth="true" style="2" width="11.5546875"/>
    <col min="3" max="3" customWidth="true" style="2" width="6.33203125"/>
    <col min="4" max="4" customWidth="true" style="4" width="5.5546875"/>
    <col min="5" max="5" customWidth="true" style="4" width="5.6640625"/>
    <col min="6" max="7" customWidth="true" style="2" width="10.6640625"/>
    <col min="8" max="13" customWidth="true" style="2" width="5.5546875"/>
    <col min="14" max="16384" style="2" width="11.44140625"/>
  </cols>
  <sheetData>
    <row r="1" spans="1:70" ht="7.95" customHeight="1">
      <c r="A1" s="325"/>
      <c r="B1" s="326"/>
      <c r="C1" s="331" t="s">
        <v>144</v>
      </c>
      <c r="D1" s="332"/>
      <c r="E1" s="332"/>
      <c r="F1" s="332"/>
      <c r="G1" s="332"/>
      <c r="H1" s="332"/>
      <c r="I1" s="333"/>
      <c r="J1" s="340" t="s">
        <v>205</v>
      </c>
      <c r="K1" s="341"/>
      <c r="L1" s="341"/>
      <c r="M1" s="34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</row>
    <row r="2" spans="1:70" s="30" customFormat="1" ht="15" customHeight="1">
      <c r="A2" s="327"/>
      <c r="B2" s="328"/>
      <c r="C2" s="334"/>
      <c r="D2" s="335"/>
      <c r="E2" s="335"/>
      <c r="F2" s="335"/>
      <c r="G2" s="335"/>
      <c r="H2" s="335"/>
      <c r="I2" s="336"/>
      <c r="J2" s="343"/>
      <c r="K2" s="344"/>
      <c r="L2" s="344"/>
      <c r="M2" s="345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</row>
    <row r="3" spans="1:70" s="30" customFormat="1" ht="17.100000000000001" customHeight="1">
      <c r="A3" s="327"/>
      <c r="B3" s="328"/>
      <c r="C3" s="334"/>
      <c r="D3" s="335"/>
      <c r="E3" s="335"/>
      <c r="F3" s="335"/>
      <c r="G3" s="335"/>
      <c r="H3" s="335"/>
      <c r="I3" s="336"/>
      <c r="J3" s="343"/>
      <c r="K3" s="344"/>
      <c r="L3" s="344"/>
      <c r="M3" s="345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</row>
    <row r="4" spans="1:70" s="30" customFormat="1" ht="14.1" customHeight="1" thickBot="1">
      <c r="A4" s="329"/>
      <c r="B4" s="330"/>
      <c r="C4" s="337"/>
      <c r="D4" s="338"/>
      <c r="E4" s="338"/>
      <c r="F4" s="338"/>
      <c r="G4" s="338"/>
      <c r="H4" s="338"/>
      <c r="I4" s="339"/>
      <c r="J4" s="346"/>
      <c r="K4" s="347"/>
      <c r="L4" s="347"/>
      <c r="M4" s="348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</row>
    <row r="5" spans="1:70" ht="6.75" customHeight="1">
      <c r="A5" s="20"/>
      <c r="B5" s="5"/>
      <c r="C5" s="5"/>
      <c r="D5" s="6"/>
      <c r="E5" s="6"/>
      <c r="F5" s="5"/>
      <c r="G5" s="5"/>
      <c r="H5" s="5"/>
      <c r="I5" s="5"/>
      <c r="J5" s="5"/>
      <c r="K5" s="5"/>
      <c r="L5" s="5"/>
      <c r="M5" s="17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</row>
    <row r="6" spans="1:70" ht="17.399999999999999">
      <c r="A6" s="21"/>
      <c r="B6" s="13"/>
      <c r="C6" s="349" t="s">
        <v>145</v>
      </c>
      <c r="D6" s="349"/>
      <c r="E6" s="349"/>
      <c r="F6" s="349"/>
      <c r="G6" s="349"/>
      <c r="H6" s="349"/>
      <c r="I6" s="349"/>
      <c r="J6" s="258"/>
      <c r="L6" s="13"/>
      <c r="M6" s="18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</row>
    <row r="7" spans="1:70" ht="6" customHeight="1">
      <c r="A7" s="16"/>
      <c r="B7" s="7"/>
      <c r="C7" s="7"/>
      <c r="D7" s="8"/>
      <c r="E7" s="9"/>
      <c r="F7" s="10"/>
      <c r="G7" s="7"/>
      <c r="H7" s="7"/>
      <c r="I7" s="7"/>
      <c r="J7" s="7"/>
      <c r="K7" s="7"/>
      <c r="L7" s="7"/>
      <c r="M7" s="19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</row>
    <row r="8" spans="1:70" ht="12.75" customHeight="1">
      <c r="A8" s="20" t="s">
        <v>146</v>
      </c>
      <c r="B8" s="259"/>
      <c r="C8" s="10"/>
      <c r="D8" s="14"/>
      <c r="F8" s="15" t="s">
        <v>147</v>
      </c>
      <c r="G8" s="5"/>
      <c r="H8" s="5"/>
      <c r="I8" s="5"/>
      <c r="J8" s="10"/>
      <c r="K8" s="11"/>
      <c r="L8" s="12"/>
      <c r="M8" s="17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</row>
    <row r="9" spans="1:70" ht="12.75" customHeight="1">
      <c r="A9" s="21"/>
      <c r="B9" s="259"/>
      <c r="C9" s="10"/>
      <c r="D9" s="14"/>
      <c r="F9" s="15"/>
      <c r="G9" s="5"/>
      <c r="H9" s="5"/>
      <c r="I9" s="5"/>
      <c r="J9" s="10"/>
      <c r="K9" s="11"/>
      <c r="L9" s="12"/>
      <c r="M9" s="17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</row>
    <row r="10" spans="1:70" ht="6.75" customHeight="1" thickBot="1">
      <c r="A10" s="16"/>
      <c r="B10" s="5"/>
      <c r="C10" s="5"/>
      <c r="D10" s="6"/>
      <c r="E10" s="6"/>
      <c r="F10" s="12"/>
      <c r="G10" s="5"/>
      <c r="H10" s="5"/>
      <c r="I10" s="5"/>
      <c r="J10" s="5"/>
      <c r="K10" s="5"/>
      <c r="L10" s="5"/>
      <c r="M10" s="17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</row>
    <row r="11" spans="1:70" ht="12.75" customHeight="1" thickBot="1">
      <c r="A11" s="235" t="s">
        <v>148</v>
      </c>
      <c r="B11" s="236"/>
      <c r="C11" s="237"/>
      <c r="D11" s="350" t="s">
        <v>149</v>
      </c>
      <c r="E11" s="351"/>
      <c r="F11" s="356" t="s">
        <v>150</v>
      </c>
      <c r="G11" s="356" t="s">
        <v>151</v>
      </c>
      <c r="H11" s="359" t="s">
        <v>152</v>
      </c>
      <c r="I11" s="360"/>
      <c r="J11" s="365" t="s">
        <v>153</v>
      </c>
      <c r="K11" s="366"/>
      <c r="L11" s="366"/>
      <c r="M11" s="367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</row>
    <row r="12" spans="1:70" ht="12.75" customHeight="1">
      <c r="A12" s="238" t="s">
        <v>154</v>
      </c>
      <c r="B12" s="239"/>
      <c r="C12" s="240"/>
      <c r="D12" s="352"/>
      <c r="E12" s="353"/>
      <c r="F12" s="357"/>
      <c r="G12" s="357"/>
      <c r="H12" s="361"/>
      <c r="I12" s="362"/>
      <c r="J12" s="359" t="s">
        <v>155</v>
      </c>
      <c r="K12" s="360"/>
      <c r="L12" s="320" t="s">
        <v>156</v>
      </c>
      <c r="M12" s="321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</row>
    <row r="13" spans="1:70" ht="12.75" customHeight="1">
      <c r="A13" s="238" t="s">
        <v>157</v>
      </c>
      <c r="B13" s="239"/>
      <c r="C13" s="240"/>
      <c r="D13" s="352"/>
      <c r="E13" s="353"/>
      <c r="F13" s="357"/>
      <c r="G13" s="357"/>
      <c r="H13" s="361"/>
      <c r="I13" s="362"/>
      <c r="J13" s="368"/>
      <c r="K13" s="369"/>
      <c r="L13" s="322"/>
      <c r="M13" s="323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</row>
    <row r="14" spans="1:70" ht="12.75" customHeight="1">
      <c r="A14" s="241" t="s">
        <v>158</v>
      </c>
      <c r="B14" s="242"/>
      <c r="C14" s="243"/>
      <c r="D14" s="354"/>
      <c r="E14" s="355"/>
      <c r="F14" s="358"/>
      <c r="G14" s="358"/>
      <c r="H14" s="363"/>
      <c r="I14" s="364"/>
      <c r="J14" s="361"/>
      <c r="K14" s="369"/>
      <c r="L14" s="324"/>
      <c r="M14" s="323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</row>
    <row r="15" spans="1:70" ht="12.75" customHeight="1">
      <c r="A15" s="244" t="s">
        <v>202</v>
      </c>
      <c r="B15" s="245"/>
      <c r="C15" s="246"/>
      <c r="D15" s="308">
        <v>0</v>
      </c>
      <c r="E15" s="309"/>
      <c r="F15" s="315">
        <v>0</v>
      </c>
      <c r="G15" s="315">
        <v>0</v>
      </c>
      <c r="H15" s="308">
        <v>4</v>
      </c>
      <c r="I15" s="302"/>
      <c r="J15" s="301" t="s">
        <v>20</v>
      </c>
      <c r="K15" s="312"/>
      <c r="L15" s="290"/>
      <c r="M15" s="291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</row>
    <row r="16" spans="1:70" ht="12.75" customHeight="1">
      <c r="A16" s="247" t="s">
        <v>203</v>
      </c>
      <c r="B16" s="248"/>
      <c r="C16" s="249"/>
      <c r="D16" s="310"/>
      <c r="E16" s="311"/>
      <c r="F16" s="455"/>
      <c r="G16" s="298"/>
      <c r="H16" s="303"/>
      <c r="I16" s="304"/>
      <c r="J16" s="303"/>
      <c r="K16" s="313"/>
      <c r="L16" s="292"/>
      <c r="M16" s="293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</row>
    <row r="17" spans="1:70" ht="12.75" customHeight="1">
      <c r="A17" s="247" t="s">
        <v>204</v>
      </c>
      <c r="B17" s="248"/>
      <c r="C17" s="249"/>
      <c r="D17" s="305"/>
      <c r="E17" s="304"/>
      <c r="F17" s="299"/>
      <c r="G17" s="299"/>
      <c r="H17" s="305"/>
      <c r="I17" s="304"/>
      <c r="J17" s="305"/>
      <c r="K17" s="313"/>
      <c r="L17" s="294"/>
      <c r="M17" s="293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</row>
    <row r="18" spans="1:70" ht="12.75" customHeight="1">
      <c r="A18" s="250">
        <v>115351</v>
      </c>
      <c r="B18" s="251"/>
      <c r="C18" s="252"/>
      <c r="D18" s="306"/>
      <c r="E18" s="307"/>
      <c r="F18" s="300"/>
      <c r="G18" s="300"/>
      <c r="H18" s="306"/>
      <c r="I18" s="307"/>
      <c r="J18" s="306"/>
      <c r="K18" s="314"/>
      <c r="L18" s="295"/>
      <c r="M18" s="296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</row>
    <row r="19" spans="1:70" ht="12.75" customHeight="1">
      <c r="A19" s="244" t="s">
        <v>214</v>
      </c>
      <c r="B19" s="245"/>
      <c r="C19" s="246"/>
      <c r="D19" s="308">
        <v>0</v>
      </c>
      <c r="E19" s="309"/>
      <c r="F19" s="315">
        <v>0</v>
      </c>
      <c r="G19" s="315">
        <v>0</v>
      </c>
      <c r="H19" s="308">
        <v>1</v>
      </c>
      <c r="I19" s="302"/>
      <c r="J19" s="301" t="s">
        <v>20</v>
      </c>
      <c r="K19" s="312"/>
      <c r="L19" s="290"/>
      <c r="M19" s="291"/>
      <c r="P19" s="229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</row>
    <row r="20" spans="1:70" ht="12.75" customHeight="1">
      <c r="A20" s="247" t="s">
        <v>215</v>
      </c>
      <c r="B20" s="248"/>
      <c r="C20" s="249"/>
      <c r="D20" s="310"/>
      <c r="E20" s="311"/>
      <c r="F20" s="455"/>
      <c r="G20" s="298"/>
      <c r="H20" s="303"/>
      <c r="I20" s="304"/>
      <c r="J20" s="303"/>
      <c r="K20" s="313"/>
      <c r="L20" s="292"/>
      <c r="M20" s="293"/>
      <c r="P20" s="229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</row>
    <row r="21" spans="1:70" customFormat="1" ht="12.75" customHeight="1">
      <c r="A21" s="260">
        <v>46119</v>
      </c>
      <c r="B21" s="248"/>
      <c r="C21" s="249"/>
      <c r="D21" s="305"/>
      <c r="E21" s="304"/>
      <c r="F21" s="299"/>
      <c r="G21" s="299"/>
      <c r="H21" s="305"/>
      <c r="I21" s="304"/>
      <c r="J21" s="305"/>
      <c r="K21" s="313"/>
      <c r="L21" s="294"/>
      <c r="M21" s="293"/>
    </row>
    <row r="22" spans="1:70" customFormat="1" ht="12.75" customHeight="1">
      <c r="A22" s="250">
        <v>115351</v>
      </c>
      <c r="B22" s="251"/>
      <c r="C22" s="252"/>
      <c r="D22" s="306"/>
      <c r="E22" s="307"/>
      <c r="F22" s="300"/>
      <c r="G22" s="300"/>
      <c r="H22" s="306"/>
      <c r="I22" s="307"/>
      <c r="J22" s="306"/>
      <c r="K22" s="314"/>
      <c r="L22" s="295"/>
      <c r="M22" s="296"/>
    </row>
    <row r="23" spans="1:70" ht="12.75" customHeight="1">
      <c r="A23" s="244" t="s">
        <v>216</v>
      </c>
      <c r="B23" s="245"/>
      <c r="C23" s="246"/>
      <c r="D23" s="308">
        <v>0</v>
      </c>
      <c r="E23" s="309"/>
      <c r="F23" s="315">
        <v>0</v>
      </c>
      <c r="G23" s="315">
        <v>0</v>
      </c>
      <c r="H23" s="308">
        <v>1</v>
      </c>
      <c r="I23" s="302"/>
      <c r="J23" s="301" t="s">
        <v>20</v>
      </c>
      <c r="K23" s="312"/>
      <c r="L23" s="290"/>
      <c r="M23" s="291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</row>
    <row r="24" spans="1:70" ht="12.75" customHeight="1">
      <c r="A24" s="247" t="s">
        <v>217</v>
      </c>
      <c r="B24" s="248"/>
      <c r="C24" s="249"/>
      <c r="D24" s="310"/>
      <c r="E24" s="311"/>
      <c r="F24" s="455"/>
      <c r="G24" s="298"/>
      <c r="H24" s="303"/>
      <c r="I24" s="304"/>
      <c r="J24" s="303"/>
      <c r="K24" s="313"/>
      <c r="L24" s="292"/>
      <c r="M24" s="293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</row>
    <row r="25" spans="1:70" ht="12.75" customHeight="1">
      <c r="A25" s="260">
        <v>46119</v>
      </c>
      <c r="B25" s="248"/>
      <c r="C25" s="249"/>
      <c r="D25" s="305"/>
      <c r="E25" s="304"/>
      <c r="F25" s="299"/>
      <c r="G25" s="299"/>
      <c r="H25" s="305"/>
      <c r="I25" s="304"/>
      <c r="J25" s="305"/>
      <c r="K25" s="313"/>
      <c r="L25" s="294"/>
      <c r="M25" s="293"/>
      <c r="P25" s="229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</row>
    <row r="26" spans="1:70" ht="12.75" customHeight="1">
      <c r="A26" s="250">
        <v>115358</v>
      </c>
      <c r="B26" s="251"/>
      <c r="C26" s="252"/>
      <c r="D26" s="306"/>
      <c r="E26" s="307"/>
      <c r="F26" s="300"/>
      <c r="G26" s="300"/>
      <c r="H26" s="306"/>
      <c r="I26" s="307"/>
      <c r="J26" s="306"/>
      <c r="K26" s="314"/>
      <c r="L26" s="295"/>
      <c r="M26" s="296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</row>
    <row r="27" spans="1:70" ht="12.75" customHeight="1">
      <c r="A27" s="244" t="s">
        <v>218</v>
      </c>
      <c r="B27" s="245"/>
      <c r="C27" s="246"/>
      <c r="D27" s="308">
        <v>0</v>
      </c>
      <c r="E27" s="309"/>
      <c r="F27" s="315">
        <v>0</v>
      </c>
      <c r="G27" s="315">
        <v>0</v>
      </c>
      <c r="H27" s="308">
        <v>1</v>
      </c>
      <c r="I27" s="302"/>
      <c r="J27" s="301" t="s">
        <v>20</v>
      </c>
      <c r="K27" s="312"/>
      <c r="L27" s="290"/>
      <c r="M27" s="291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</row>
    <row r="28" spans="1:70" ht="12.75" customHeight="1">
      <c r="A28" s="247" t="s">
        <v>219</v>
      </c>
      <c r="B28" s="248"/>
      <c r="C28" s="249"/>
      <c r="D28" s="310"/>
      <c r="E28" s="311"/>
      <c r="F28" s="455"/>
      <c r="G28" s="298"/>
      <c r="H28" s="303"/>
      <c r="I28" s="304"/>
      <c r="J28" s="303"/>
      <c r="K28" s="313"/>
      <c r="L28" s="292"/>
      <c r="M28" s="293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</row>
    <row r="29" spans="1:70" ht="12.75" customHeight="1">
      <c r="A29" s="260">
        <v>46133</v>
      </c>
      <c r="B29" s="248"/>
      <c r="C29" s="249"/>
      <c r="D29" s="305"/>
      <c r="E29" s="304"/>
      <c r="F29" s="299"/>
      <c r="G29" s="299"/>
      <c r="H29" s="305"/>
      <c r="I29" s="304"/>
      <c r="J29" s="305"/>
      <c r="K29" s="313"/>
      <c r="L29" s="294"/>
      <c r="M29" s="293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</row>
    <row r="30" spans="1:70" ht="12.75" customHeight="1">
      <c r="A30" s="250">
        <v>115358</v>
      </c>
      <c r="B30" s="251"/>
      <c r="C30" s="252"/>
      <c r="D30" s="306"/>
      <c r="E30" s="307"/>
      <c r="F30" s="300"/>
      <c r="G30" s="300"/>
      <c r="H30" s="306"/>
      <c r="I30" s="307"/>
      <c r="J30" s="306"/>
      <c r="K30" s="314"/>
      <c r="L30" s="295"/>
      <c r="M30" s="296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</row>
    <row r="31" spans="1:70" ht="12.75" customHeight="1">
      <c r="A31" s="244" t="s">
        <v>220</v>
      </c>
      <c r="B31" s="245"/>
      <c r="C31" s="246"/>
      <c r="D31" s="308">
        <v>0</v>
      </c>
      <c r="E31" s="309"/>
      <c r="F31" s="315">
        <v>0</v>
      </c>
      <c r="G31" s="315">
        <v>0</v>
      </c>
      <c r="H31" s="308">
        <v>0.7</v>
      </c>
      <c r="I31" s="302"/>
      <c r="J31" s="301" t="s">
        <v>20</v>
      </c>
      <c r="K31" s="312"/>
      <c r="L31" s="290"/>
      <c r="M31" s="291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</row>
    <row r="32" spans="1:70" ht="12.75" customHeight="1">
      <c r="A32" s="247" t="s">
        <v>221</v>
      </c>
      <c r="B32" s="248"/>
      <c r="C32" s="249"/>
      <c r="D32" s="310"/>
      <c r="E32" s="311"/>
      <c r="F32" s="455"/>
      <c r="G32" s="298"/>
      <c r="H32" s="303"/>
      <c r="I32" s="304"/>
      <c r="J32" s="303"/>
      <c r="K32" s="313"/>
      <c r="L32" s="292"/>
      <c r="M32" s="293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</row>
    <row r="33" spans="1:70" customFormat="1" ht="12.75" customHeight="1">
      <c r="A33" s="260">
        <v>46126</v>
      </c>
      <c r="B33" s="248"/>
      <c r="C33" s="249"/>
      <c r="D33" s="305"/>
      <c r="E33" s="304"/>
      <c r="F33" s="299"/>
      <c r="G33" s="299"/>
      <c r="H33" s="305"/>
      <c r="I33" s="304"/>
      <c r="J33" s="305"/>
      <c r="K33" s="313"/>
      <c r="L33" s="294"/>
      <c r="M33" s="293"/>
    </row>
    <row r="34" spans="1:70" customFormat="1" ht="12.75" customHeight="1">
      <c r="A34" s="247">
        <v>115358</v>
      </c>
      <c r="B34" s="251"/>
      <c r="C34" s="252"/>
      <c r="D34" s="306"/>
      <c r="E34" s="307"/>
      <c r="F34" s="300"/>
      <c r="G34" s="300"/>
      <c r="H34" s="306"/>
      <c r="I34" s="307"/>
      <c r="J34" s="306"/>
      <c r="K34" s="314"/>
      <c r="L34" s="295"/>
      <c r="M34" s="296"/>
    </row>
    <row r="35" spans="1:70" ht="12.75" customHeight="1">
      <c r="A35" s="244" t="s">
        <v>222</v>
      </c>
      <c r="B35" s="245"/>
      <c r="C35" s="246"/>
      <c r="D35" s="308">
        <v>0.4</v>
      </c>
      <c r="E35" s="309"/>
      <c r="F35" s="315">
        <v>1</v>
      </c>
      <c r="G35" s="315">
        <v>75</v>
      </c>
      <c r="H35" s="308">
        <v>0.7</v>
      </c>
      <c r="I35" s="302"/>
      <c r="J35" s="301" t="s">
        <v>20</v>
      </c>
      <c r="K35" s="312"/>
      <c r="L35" s="290"/>
      <c r="M35" s="291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</row>
    <row r="36" spans="1:70" ht="12.75" customHeight="1">
      <c r="A36" s="247" t="s">
        <v>223</v>
      </c>
      <c r="B36" s="248"/>
      <c r="C36" s="249"/>
      <c r="D36" s="310"/>
      <c r="E36" s="311"/>
      <c r="F36" s="455"/>
      <c r="G36" s="298"/>
      <c r="H36" s="303"/>
      <c r="I36" s="304"/>
      <c r="J36" s="303"/>
      <c r="K36" s="313"/>
      <c r="L36" s="292"/>
      <c r="M36" s="293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</row>
    <row r="37" spans="1:70" ht="12.75" customHeight="1">
      <c r="A37" s="289">
        <v>46135</v>
      </c>
      <c r="B37" s="248"/>
      <c r="C37" s="249"/>
      <c r="D37" s="305"/>
      <c r="E37" s="304"/>
      <c r="F37" s="299"/>
      <c r="G37" s="299"/>
      <c r="H37" s="305"/>
      <c r="I37" s="304"/>
      <c r="J37" s="305"/>
      <c r="K37" s="313"/>
      <c r="L37" s="294"/>
      <c r="M37" s="293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</row>
    <row r="38" spans="1:70" ht="12.75" customHeight="1">
      <c r="A38" s="247">
        <v>115358</v>
      </c>
      <c r="B38" s="251"/>
      <c r="C38" s="252"/>
      <c r="D38" s="306"/>
      <c r="E38" s="307"/>
      <c r="F38" s="300"/>
      <c r="G38" s="300"/>
      <c r="H38" s="306"/>
      <c r="I38" s="307"/>
      <c r="J38" s="306"/>
      <c r="K38" s="314"/>
      <c r="L38" s="295"/>
      <c r="M38" s="296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</row>
    <row r="39" spans="1:70" ht="13.2" thickBot="1">
      <c r="A39" s="233"/>
      <c r="B39" s="234"/>
      <c r="C39" s="234"/>
      <c r="D39" s="255"/>
      <c r="E39" s="255"/>
      <c r="F39" s="315">
        <v>0</v>
      </c>
      <c r="G39" s="256"/>
      <c r="H39" s="256"/>
      <c r="I39" s="256"/>
      <c r="J39" s="257"/>
      <c r="K39" s="257"/>
      <c r="L39" s="257"/>
      <c r="M39" s="23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</row>
    <row r="40" spans="1:70" ht="15" customHeight="1" thickBot="1">
      <c r="A40" s="22"/>
      <c r="B40" s="29" t="s">
        <v>159</v>
      </c>
      <c r="C40" s="2"/>
      <c r="D40" s="226">
        <f>MIN(D15:E38)</f>
        <v>0</v>
      </c>
      <c r="E40" s="227"/>
      <c r="F40" s="455"/>
      <c r="G40" s="253"/>
      <c r="H40" s="216"/>
      <c r="I40" s="217"/>
      <c r="J40" s="254"/>
      <c r="K40" s="254"/>
      <c r="L40" s="254"/>
      <c r="M40" s="24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</row>
    <row r="41" spans="1:70" ht="15" customHeight="1" thickBot="1">
      <c r="A41" s="23"/>
      <c r="B41" s="29" t="s">
        <v>160</v>
      </c>
      <c r="C41" s="2"/>
      <c r="D41" s="286">
        <f>AVERAGE(D15:E38)</f>
        <v>6.6666666666666666E-2</v>
      </c>
      <c r="E41" s="228"/>
      <c r="F41" s="299"/>
      <c r="G41" s="288">
        <f>(SUM(G15:G38))*D41</f>
        <v>5</v>
      </c>
      <c r="H41" s="2"/>
      <c r="I41" s="2"/>
      <c r="J41" s="2"/>
      <c r="K41" s="2"/>
      <c r="L41" s="2"/>
      <c r="M41" s="225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</row>
    <row r="42" spans="1:70" ht="15" customHeight="1" thickBot="1">
      <c r="A42" s="23"/>
      <c r="B42" s="29" t="s">
        <v>162</v>
      </c>
      <c r="C42" s="2"/>
      <c r="D42" s="226">
        <f>MAX(D15:E38)</f>
        <v>0.4</v>
      </c>
      <c r="E42" s="4"/>
      <c r="F42" s="300"/>
      <c r="G42" s="2"/>
      <c r="H42" s="33"/>
      <c r="I42" s="33"/>
      <c r="J42" s="2"/>
      <c r="K42" s="2"/>
      <c r="L42" s="2"/>
      <c r="M42" s="24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</row>
    <row r="43" spans="1:70" ht="15" customHeight="1">
      <c r="A43" s="23"/>
      <c r="B43" s="29"/>
      <c r="C43" s="2"/>
      <c r="D43" s="4"/>
      <c r="E43" s="4"/>
      <c r="F43" s="35"/>
      <c r="G43" s="33"/>
      <c r="H43" s="33"/>
      <c r="I43" s="33"/>
      <c r="J43" s="2"/>
      <c r="K43" s="2"/>
      <c r="L43" s="2"/>
      <c r="M43" s="24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</row>
    <row r="44" spans="1:70" s="34" customFormat="1" ht="15" customHeight="1">
      <c r="A44" s="36" t="s">
        <v>163</v>
      </c>
      <c r="B44" s="37"/>
      <c r="C44" s="38" t="s">
        <v>164</v>
      </c>
      <c r="D44" s="32"/>
      <c r="E44" s="4"/>
      <c r="F44" s="28"/>
      <c r="G44" s="33"/>
      <c r="H44" s="33"/>
      <c r="I44" s="33"/>
      <c r="J44" s="2"/>
      <c r="K44" s="2"/>
      <c r="L44" s="2"/>
      <c r="M44" s="24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</row>
    <row r="45" spans="1:70" ht="14.4" customHeight="1" thickBot="1">
      <c r="A45" s="25"/>
      <c r="B45" s="26"/>
      <c r="C45" s="27"/>
      <c r="D45" s="223"/>
      <c r="E45" s="223"/>
      <c r="F45" s="223"/>
      <c r="G45" s="223"/>
      <c r="H45" s="223"/>
      <c r="I45" s="223"/>
      <c r="J45" s="223"/>
      <c r="K45" s="223"/>
      <c r="L45" s="223"/>
      <c r="M45" s="224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</row>
    <row r="46" spans="1:70" ht="4.5" customHeight="1">
      <c r="A46" s="1"/>
      <c r="B46" s="1"/>
      <c r="C46" s="1"/>
      <c r="D46" s="3"/>
      <c r="E46" s="3"/>
      <c r="F46" s="1"/>
      <c r="G46" s="1"/>
      <c r="H46" s="1"/>
      <c r="I46" s="1"/>
      <c r="J46" s="1"/>
      <c r="K46" s="1"/>
      <c r="L46" s="1"/>
      <c r="M46" s="1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</row>
    <row r="47" spans="1:70" ht="12.75" customHeight="1"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</row>
    <row r="48" spans="1:70"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</row>
    <row r="49" spans="35:70"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</row>
    <row r="50" spans="35:70"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</row>
    <row r="51" spans="35:70"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</row>
    <row r="52" spans="35:70"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</row>
    <row r="53" spans="35:70"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</row>
    <row r="54" spans="35:70"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</row>
    <row r="55" spans="35:70"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</row>
    <row r="56" spans="35:70"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</row>
    <row r="57" spans="35:70"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</row>
    <row r="58" spans="35:70"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</row>
    <row r="59" spans="35:70"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</row>
    <row r="60" spans="35:70"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</row>
    <row r="61" spans="35:70"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</row>
    <row r="62" spans="35:70"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</row>
    <row r="63" spans="35:70"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</row>
    <row r="64" spans="35:70"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</row>
    <row r="65" spans="35:70"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</row>
    <row r="66" spans="35:70"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</row>
    <row r="67" spans="35:70"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</row>
    <row r="68" spans="35:70"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</row>
    <row r="69" spans="35:70"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</row>
    <row r="70" spans="35:70"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</row>
    <row r="71" spans="35:70"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</row>
    <row r="72" spans="35:70"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</row>
    <row r="73" spans="35:70"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</row>
    <row r="74" spans="35:70"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</row>
    <row r="75" spans="35:70"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</row>
    <row r="76" spans="35:70"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</row>
    <row r="77" spans="35:70"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</row>
    <row r="78" spans="35:70"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</row>
    <row r="79" spans="35:70"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</row>
    <row r="80" spans="35:70"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</row>
    <row r="81" spans="35:70"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</row>
    <row r="82" spans="35:70"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</row>
    <row r="83" spans="35:70"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</row>
    <row r="84" spans="35:70"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</row>
    <row r="85" spans="35:70"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</row>
    <row r="86" spans="35:70"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</row>
    <row r="87" spans="35:70"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</row>
    <row r="88" spans="35:70"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</row>
    <row r="89" spans="35:70"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</row>
    <row r="90" spans="35:70"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</row>
    <row r="91" spans="35:70"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</row>
    <row r="92" spans="35:70"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</row>
    <row r="93" spans="35:70"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</row>
    <row r="94" spans="35:70"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</row>
    <row r="95" spans="35:70"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</row>
    <row r="96" spans="35:70"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</row>
    <row r="97" spans="35:70"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</row>
    <row r="98" spans="35:70"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</row>
    <row r="99" spans="35:70"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</row>
    <row r="100" spans="35:70"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</row>
    <row r="101" spans="35:70"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</row>
    <row r="102" spans="35:70"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</row>
    <row r="103" spans="35:70"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</row>
    <row r="104" spans="35:70"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</row>
    <row r="105" spans="35:70"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</row>
    <row r="106" spans="35:70"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</row>
    <row r="107" spans="35:70"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</row>
    <row r="108" spans="35:70"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</row>
    <row r="109" spans="35:70"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</row>
    <row r="110" spans="35:70"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</row>
    <row r="111" spans="35:70"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</row>
    <row r="112" spans="35:70"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</row>
    <row r="113" spans="35:70"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</row>
    <row r="114" spans="35:70"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</row>
    <row r="115" spans="35:70"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</row>
    <row r="116" spans="35:70"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</row>
    <row r="117" spans="35:70"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</row>
    <row r="118" spans="35:70"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</row>
    <row r="119" spans="35:70"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</row>
    <row r="120" spans="35:70"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</row>
    <row r="121" spans="35:70"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</row>
    <row r="122" spans="35:70"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</row>
    <row r="123" spans="35:70"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</row>
    <row r="124" spans="35:70"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</row>
    <row r="125" spans="35:70"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</row>
    <row r="126" spans="35:70"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</row>
    <row r="127" spans="35:70"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</row>
    <row r="128" spans="35:70"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</row>
    <row r="129" spans="35:70"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</row>
    <row r="130" spans="35:70"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</row>
    <row r="131" spans="35:70"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</row>
    <row r="132" spans="35:70"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</row>
    <row r="133" spans="35:70"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</row>
    <row r="134" spans="35:70"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</row>
    <row r="135" spans="35:70"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</row>
    <row r="136" spans="35:70"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</row>
    <row r="137" spans="35:70"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</row>
    <row r="138" spans="35:70"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</row>
    <row r="139" spans="35:70"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</row>
    <row r="140" spans="35:70"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</row>
    <row r="141" spans="35:70"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</row>
    <row r="142" spans="35:70"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</row>
    <row r="143" spans="35:70"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</row>
    <row r="144" spans="35:70"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</row>
    <row r="145" spans="35:70"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</row>
    <row r="146" spans="35:70"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</row>
    <row r="147" spans="35:70"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</row>
    <row r="148" spans="35:70"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</row>
    <row r="149" spans="35:70"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</row>
    <row r="150" spans="35:70"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</row>
    <row r="151" spans="35:70"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</row>
    <row r="152" spans="35:70"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</row>
    <row r="153" spans="35:70"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</row>
    <row r="154" spans="35:70"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</row>
    <row r="155" spans="35:70"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</row>
    <row r="156" spans="35:70"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</row>
    <row r="157" spans="35:70"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</row>
    <row r="158" spans="35:70"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</row>
    <row r="159" spans="35:70"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</row>
    <row r="160" spans="35:70"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</row>
    <row r="161" spans="35:70"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</row>
    <row r="162" spans="35:70"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</row>
    <row r="163" spans="35:70"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</row>
    <row r="164" spans="35:70"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</row>
    <row r="165" spans="35:70"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</row>
    <row r="166" spans="35:70"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</row>
    <row r="167" spans="35:70"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</row>
    <row r="168" spans="35:70"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</row>
  </sheetData>
  <mergeCells count="48">
    <mergeCell ref="F39:F42"/>
    <mergeCell ref="A1:B4"/>
    <mergeCell ref="C1:I4"/>
    <mergeCell ref="J1:M4"/>
    <mergeCell ref="C6:I6"/>
    <mergeCell ref="D11:E14"/>
    <mergeCell ref="F11:F14"/>
    <mergeCell ref="G11:G14"/>
    <mergeCell ref="H11:I14"/>
    <mergeCell ref="J11:M11"/>
    <mergeCell ref="J12:K14"/>
    <mergeCell ref="L19:M22"/>
    <mergeCell ref="L12:M14"/>
    <mergeCell ref="D15:E18"/>
    <mergeCell ref="F15:F18"/>
    <mergeCell ref="G15:G18"/>
    <mergeCell ref="H15:I18"/>
    <mergeCell ref="J15:K18"/>
    <mergeCell ref="L15:M18"/>
    <mergeCell ref="D19:E22"/>
    <mergeCell ref="F19:F22"/>
    <mergeCell ref="G19:G22"/>
    <mergeCell ref="H19:I22"/>
    <mergeCell ref="J19:K22"/>
    <mergeCell ref="L27:M30"/>
    <mergeCell ref="D23:E26"/>
    <mergeCell ref="F23:F26"/>
    <mergeCell ref="G23:G26"/>
    <mergeCell ref="H23:I26"/>
    <mergeCell ref="J23:K26"/>
    <mergeCell ref="L23:M26"/>
    <mergeCell ref="D27:E30"/>
    <mergeCell ref="F27:F30"/>
    <mergeCell ref="G27:G30"/>
    <mergeCell ref="H27:I30"/>
    <mergeCell ref="J27:K30"/>
    <mergeCell ref="L35:M38"/>
    <mergeCell ref="D31:E34"/>
    <mergeCell ref="F31:F34"/>
    <mergeCell ref="G31:G34"/>
    <mergeCell ref="H31:I34"/>
    <mergeCell ref="J31:K34"/>
    <mergeCell ref="L31:M34"/>
    <mergeCell ref="D35:E38"/>
    <mergeCell ref="F35:F38"/>
    <mergeCell ref="G35:G38"/>
    <mergeCell ref="H35:I38"/>
    <mergeCell ref="J35:K38"/>
  </mergeCells>
  <conditionalFormatting sqref="D15:E38">
    <cfRule type="cellIs" dxfId="26" priority="1" operator="greaterThan">
      <formula>"0.5"</formula>
    </cfRule>
    <cfRule type="cellIs" dxfId="25" priority="2" operator="between">
      <formula>"0.1"</formula>
      <formula>"0.5"</formula>
    </cfRule>
    <cfRule type="cellIs" dxfId="24" priority="3" operator="equal">
      <formula>0</formula>
    </cfRule>
  </conditionalFormatting>
  <printOptions horizontalCentered="1" verticalCentered="1"/>
  <pageMargins left="0.27559055118110237" right="0.19685039370078741" top="0.43307086614173229" bottom="0.43307086614173229" header="0.31496062992125984" footer="0.39370078740157483"/>
  <pageSetup paperSize="9" orientation="portrait" horizontalDpi="1200" verticalDpi="1200" r:id="rId1"/>
  <headerFooter alignWithMargins="0">
    <oddHeader>&amp;LPI 3010 Enclosure 1(a) / 09.24</oddHeader>
    <oddFooter xml:space="preserve"><![CDATA[&L_x000D_&1#&"Arial"&10&K000000 [Internal]&R&",Standard"&7    ]]>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364893-EDE2-4649-9548-D14AC14E2FC4}">
  <sheetPr>
    <pageSetUpPr fitToPage="1"/>
  </sheetPr>
  <dimension ref="A1:BR176"/>
  <sheetViews>
    <sheetView showGridLines="0" tabSelected="1" zoomScale="145" zoomScaleNormal="145" zoomScaleSheetLayoutView="115" zoomScalePageLayoutView="85" workbookViewId="0">
      <selection activeCell="R13" sqref="R13"/>
    </sheetView>
  </sheetViews>
  <sheetFormatPr baseColWidth="10" defaultColWidth="11.44140625" defaultRowHeight="12.6"/>
  <cols>
    <col min="1" max="1" customWidth="true" style="2" width="13.33203125"/>
    <col min="2" max="2" customWidth="true" style="2" width="11.5546875"/>
    <col min="3" max="3" customWidth="true" style="2" width="6.33203125"/>
    <col min="4" max="4" customWidth="true" style="4" width="5.5546875"/>
    <col min="5" max="5" customWidth="true" style="4" width="5.6640625"/>
    <col min="6" max="7" customWidth="true" style="2" width="10.6640625"/>
    <col min="8" max="13" customWidth="true" style="2" width="5.5546875"/>
    <col min="14" max="16384" style="2" width="11.44140625"/>
  </cols>
  <sheetData>
    <row r="1" spans="1:70" ht="7.95" customHeight="1">
      <c r="A1" s="325"/>
      <c r="B1" s="326"/>
      <c r="C1" s="331" t="s">
        <v>144</v>
      </c>
      <c r="D1" s="332"/>
      <c r="E1" s="332"/>
      <c r="F1" s="332"/>
      <c r="G1" s="332"/>
      <c r="H1" s="332"/>
      <c r="I1" s="333"/>
      <c r="J1" s="340" t="s">
        <v>206</v>
      </c>
      <c r="K1" s="341"/>
      <c r="L1" s="341"/>
      <c r="M1" s="34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</row>
    <row r="2" spans="1:70" s="30" customFormat="1" ht="15" customHeight="1">
      <c r="A2" s="327"/>
      <c r="B2" s="328"/>
      <c r="C2" s="334"/>
      <c r="D2" s="335"/>
      <c r="E2" s="335"/>
      <c r="F2" s="335"/>
      <c r="G2" s="335"/>
      <c r="H2" s="335"/>
      <c r="I2" s="336"/>
      <c r="J2" s="343"/>
      <c r="K2" s="344"/>
      <c r="L2" s="344"/>
      <c r="M2" s="345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</row>
    <row r="3" spans="1:70" s="30" customFormat="1" ht="17.100000000000001" customHeight="1">
      <c r="A3" s="327"/>
      <c r="B3" s="328"/>
      <c r="C3" s="334"/>
      <c r="D3" s="335"/>
      <c r="E3" s="335"/>
      <c r="F3" s="335"/>
      <c r="G3" s="335"/>
      <c r="H3" s="335"/>
      <c r="I3" s="336"/>
      <c r="J3" s="343"/>
      <c r="K3" s="344"/>
      <c r="L3" s="344"/>
      <c r="M3" s="345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</row>
    <row r="4" spans="1:70" s="30" customFormat="1" ht="14.1" customHeight="1" thickBot="1">
      <c r="A4" s="329"/>
      <c r="B4" s="330"/>
      <c r="C4" s="337"/>
      <c r="D4" s="338"/>
      <c r="E4" s="338"/>
      <c r="F4" s="338"/>
      <c r="G4" s="338"/>
      <c r="H4" s="338"/>
      <c r="I4" s="339"/>
      <c r="J4" s="346"/>
      <c r="K4" s="347"/>
      <c r="L4" s="347"/>
      <c r="M4" s="348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</row>
    <row r="5" spans="1:70" ht="6.75" customHeight="1">
      <c r="A5" s="20"/>
      <c r="B5" s="5"/>
      <c r="C5" s="5"/>
      <c r="D5" s="6"/>
      <c r="E5" s="6"/>
      <c r="F5" s="5"/>
      <c r="G5" s="5"/>
      <c r="H5" s="5"/>
      <c r="I5" s="5"/>
      <c r="J5" s="5"/>
      <c r="K5" s="5"/>
      <c r="L5" s="5"/>
      <c r="M5" s="17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</row>
    <row r="6" spans="1:70" ht="17.399999999999999">
      <c r="A6" s="21"/>
      <c r="B6" s="13"/>
      <c r="C6" s="349" t="s">
        <v>145</v>
      </c>
      <c r="D6" s="349"/>
      <c r="E6" s="349"/>
      <c r="F6" s="349"/>
      <c r="G6" s="349"/>
      <c r="H6" s="349"/>
      <c r="I6" s="349"/>
      <c r="J6" s="258"/>
      <c r="L6" s="13"/>
      <c r="M6" s="18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</row>
    <row r="7" spans="1:70" ht="6" customHeight="1">
      <c r="A7" s="16"/>
      <c r="B7" s="7"/>
      <c r="C7" s="7"/>
      <c r="D7" s="8"/>
      <c r="E7" s="9"/>
      <c r="F7" s="10"/>
      <c r="G7" s="7"/>
      <c r="H7" s="7"/>
      <c r="I7" s="7"/>
      <c r="J7" s="7"/>
      <c r="K7" s="7"/>
      <c r="L7" s="7"/>
      <c r="M7" s="19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</row>
    <row r="8" spans="1:70" ht="12.75" customHeight="1">
      <c r="A8" s="20" t="s">
        <v>146</v>
      </c>
      <c r="B8" s="259"/>
      <c r="C8" s="10"/>
      <c r="D8" s="14"/>
      <c r="F8" s="15" t="s">
        <v>147</v>
      </c>
      <c r="G8" s="5"/>
      <c r="H8" s="5"/>
      <c r="I8" s="5"/>
      <c r="J8" s="10"/>
      <c r="K8" s="11"/>
      <c r="L8" s="12"/>
      <c r="M8" s="17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</row>
    <row r="9" spans="1:70" ht="12.75" customHeight="1">
      <c r="A9" s="21"/>
      <c r="B9" s="259"/>
      <c r="C9" s="10"/>
      <c r="D9" s="14"/>
      <c r="F9" s="15"/>
      <c r="G9" s="5"/>
      <c r="H9" s="5"/>
      <c r="I9" s="5"/>
      <c r="J9" s="10"/>
      <c r="K9" s="11"/>
      <c r="L9" s="12"/>
      <c r="M9" s="17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</row>
    <row r="10" spans="1:70" ht="6.75" customHeight="1" thickBot="1">
      <c r="A10" s="16"/>
      <c r="B10" s="5"/>
      <c r="C10" s="5"/>
      <c r="D10" s="6"/>
      <c r="E10" s="6"/>
      <c r="F10" s="12"/>
      <c r="G10" s="5"/>
      <c r="H10" s="5"/>
      <c r="I10" s="5"/>
      <c r="J10" s="5"/>
      <c r="K10" s="5"/>
      <c r="L10" s="5"/>
      <c r="M10" s="17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</row>
    <row r="11" spans="1:70" ht="12.75" customHeight="1" thickBot="1">
      <c r="A11" s="235" t="s">
        <v>148</v>
      </c>
      <c r="B11" s="236"/>
      <c r="C11" s="237"/>
      <c r="D11" s="350" t="s">
        <v>149</v>
      </c>
      <c r="E11" s="351"/>
      <c r="F11" s="356" t="s">
        <v>150</v>
      </c>
      <c r="G11" s="356" t="s">
        <v>151</v>
      </c>
      <c r="H11" s="359" t="s">
        <v>152</v>
      </c>
      <c r="I11" s="360"/>
      <c r="J11" s="365" t="s">
        <v>153</v>
      </c>
      <c r="K11" s="366"/>
      <c r="L11" s="366"/>
      <c r="M11" s="367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</row>
    <row r="12" spans="1:70" ht="12.75" customHeight="1">
      <c r="A12" s="238" t="s">
        <v>154</v>
      </c>
      <c r="B12" s="239"/>
      <c r="C12" s="240"/>
      <c r="D12" s="352"/>
      <c r="E12" s="353"/>
      <c r="F12" s="357"/>
      <c r="G12" s="357"/>
      <c r="H12" s="361"/>
      <c r="I12" s="362"/>
      <c r="J12" s="359" t="s">
        <v>155</v>
      </c>
      <c r="K12" s="360"/>
      <c r="L12" s="320" t="s">
        <v>156</v>
      </c>
      <c r="M12" s="321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</row>
    <row r="13" spans="1:70" ht="12.75" customHeight="1">
      <c r="A13" s="238" t="s">
        <v>157</v>
      </c>
      <c r="B13" s="239"/>
      <c r="C13" s="240"/>
      <c r="D13" s="352"/>
      <c r="E13" s="353"/>
      <c r="F13" s="357"/>
      <c r="G13" s="357"/>
      <c r="H13" s="361"/>
      <c r="I13" s="362"/>
      <c r="J13" s="368"/>
      <c r="K13" s="369"/>
      <c r="L13" s="322"/>
      <c r="M13" s="323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</row>
    <row r="14" spans="1:70" ht="12.75" customHeight="1">
      <c r="A14" s="241" t="s">
        <v>158</v>
      </c>
      <c r="B14" s="242"/>
      <c r="C14" s="243"/>
      <c r="D14" s="354"/>
      <c r="E14" s="355"/>
      <c r="F14" s="358"/>
      <c r="G14" s="358"/>
      <c r="H14" s="363"/>
      <c r="I14" s="364"/>
      <c r="J14" s="361"/>
      <c r="K14" s="369"/>
      <c r="L14" s="324"/>
      <c r="M14" s="323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</row>
    <row r="15" spans="1:70" ht="12.75" customHeight="1">
      <c r="A15" s="244"/>
      <c r="B15" s="245"/>
      <c r="C15" s="246"/>
      <c r="D15" s="308">
        <v>0</v>
      </c>
      <c r="E15" s="309"/>
      <c r="F15" s="370">
        <v>0</v>
      </c>
      <c r="G15" s="315">
        <v>0</v>
      </c>
      <c r="H15" s="308">
        <v>1</v>
      </c>
      <c r="I15" s="302"/>
      <c r="J15" s="301" t="s">
        <v>20</v>
      </c>
      <c r="K15" s="312"/>
      <c r="L15" s="290"/>
      <c r="M15" s="291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</row>
    <row r="16" spans="1:70" ht="12.75" customHeight="1">
      <c r="A16" s="247"/>
      <c r="B16" s="248"/>
      <c r="C16" s="249"/>
      <c r="D16" s="310"/>
      <c r="E16" s="311"/>
      <c r="F16" s="371"/>
      <c r="G16" s="298"/>
      <c r="H16" s="303"/>
      <c r="I16" s="304"/>
      <c r="J16" s="303"/>
      <c r="K16" s="313"/>
      <c r="L16" s="292"/>
      <c r="M16" s="293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</row>
    <row r="17" spans="1:70" ht="12.75" customHeight="1">
      <c r="A17" s="247" t="s">
        <v>224</v>
      </c>
      <c r="B17" s="248"/>
      <c r="C17" s="249"/>
      <c r="D17" s="305"/>
      <c r="E17" s="304"/>
      <c r="F17" s="372"/>
      <c r="G17" s="299"/>
      <c r="H17" s="305"/>
      <c r="I17" s="304"/>
      <c r="J17" s="305"/>
      <c r="K17" s="313"/>
      <c r="L17" s="294"/>
      <c r="M17" s="293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</row>
    <row r="18" spans="1:70" ht="12.75" customHeight="1">
      <c r="A18" s="250"/>
      <c r="B18" s="251"/>
      <c r="C18" s="252"/>
      <c r="D18" s="306"/>
      <c r="E18" s="307"/>
      <c r="F18" s="373"/>
      <c r="G18" s="300"/>
      <c r="H18" s="306"/>
      <c r="I18" s="307"/>
      <c r="J18" s="306"/>
      <c r="K18" s="314"/>
      <c r="L18" s="295"/>
      <c r="M18" s="296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</row>
    <row r="19" spans="1:70" ht="12.75" customHeight="1">
      <c r="A19" s="244" t="s">
        <v>225</v>
      </c>
      <c r="B19" s="245"/>
      <c r="C19" s="246"/>
      <c r="D19" s="447">
        <v>1.3</v>
      </c>
      <c r="E19" s="448"/>
      <c r="F19" s="316">
        <v>2</v>
      </c>
      <c r="G19" s="315">
        <v>200</v>
      </c>
      <c r="H19" s="301" t="s">
        <v>227</v>
      </c>
      <c r="I19" s="302"/>
      <c r="J19" s="301" t="s">
        <v>20</v>
      </c>
      <c r="K19" s="312"/>
      <c r="L19" s="290"/>
      <c r="M19" s="291"/>
      <c r="P19" s="229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</row>
    <row r="20" spans="1:70" ht="12.75" customHeight="1">
      <c r="A20" s="247" t="s">
        <v>226</v>
      </c>
      <c r="B20" s="248"/>
      <c r="C20" s="249"/>
      <c r="D20" s="449"/>
      <c r="E20" s="450"/>
      <c r="F20" s="317"/>
      <c r="G20" s="298"/>
      <c r="H20" s="303"/>
      <c r="I20" s="304"/>
      <c r="J20" s="303"/>
      <c r="K20" s="313"/>
      <c r="L20" s="292"/>
      <c r="M20" s="293"/>
      <c r="P20" s="229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</row>
    <row r="21" spans="1:70" customFormat="1" ht="12.75" customHeight="1">
      <c r="A21" s="260">
        <v>46149</v>
      </c>
      <c r="B21" s="248"/>
      <c r="C21" s="249"/>
      <c r="D21" s="451"/>
      <c r="E21" s="452"/>
      <c r="F21" s="318"/>
      <c r="G21" s="299"/>
      <c r="H21" s="305"/>
      <c r="I21" s="304"/>
      <c r="J21" s="305"/>
      <c r="K21" s="313"/>
      <c r="L21" s="294"/>
      <c r="M21" s="293"/>
    </row>
    <row r="22" spans="1:70" customFormat="1" ht="12.75" customHeight="1">
      <c r="A22" s="250">
        <v>115351</v>
      </c>
      <c r="B22" s="251"/>
      <c r="C22" s="252"/>
      <c r="D22" s="453"/>
      <c r="E22" s="454"/>
      <c r="F22" s="319"/>
      <c r="G22" s="300"/>
      <c r="H22" s="306"/>
      <c r="I22" s="307"/>
      <c r="J22" s="306"/>
      <c r="K22" s="314"/>
      <c r="L22" s="295"/>
      <c r="M22" s="296"/>
    </row>
    <row r="23" spans="1:70" ht="12.75" customHeight="1">
      <c r="A23" s="244"/>
      <c r="B23" s="245"/>
      <c r="C23" s="246"/>
      <c r="D23" s="308">
        <v>0</v>
      </c>
      <c r="E23" s="309"/>
      <c r="F23" s="315"/>
      <c r="G23" s="297"/>
      <c r="H23" s="301"/>
      <c r="I23" s="302"/>
      <c r="J23" s="301" t="s">
        <v>20</v>
      </c>
      <c r="K23" s="312"/>
      <c r="L23" s="290"/>
      <c r="M23" s="291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</row>
    <row r="24" spans="1:70" ht="12.75" customHeight="1">
      <c r="A24" s="247"/>
      <c r="B24" s="248"/>
      <c r="C24" s="249"/>
      <c r="D24" s="310"/>
      <c r="E24" s="311"/>
      <c r="F24" s="298"/>
      <c r="G24" s="298"/>
      <c r="H24" s="303"/>
      <c r="I24" s="304"/>
      <c r="J24" s="303"/>
      <c r="K24" s="313"/>
      <c r="L24" s="292"/>
      <c r="M24" s="293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</row>
    <row r="25" spans="1:70" ht="12.75" customHeight="1">
      <c r="A25" s="247"/>
      <c r="B25" s="248"/>
      <c r="C25" s="249"/>
      <c r="D25" s="305"/>
      <c r="E25" s="304"/>
      <c r="F25" s="299"/>
      <c r="G25" s="299"/>
      <c r="H25" s="305"/>
      <c r="I25" s="304"/>
      <c r="J25" s="305"/>
      <c r="K25" s="313"/>
      <c r="L25" s="294"/>
      <c r="M25" s="293"/>
      <c r="P25" s="229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</row>
    <row r="26" spans="1:70" ht="12.75" customHeight="1">
      <c r="A26" s="250"/>
      <c r="B26" s="251"/>
      <c r="C26" s="252"/>
      <c r="D26" s="306"/>
      <c r="E26" s="307"/>
      <c r="F26" s="300"/>
      <c r="G26" s="300"/>
      <c r="H26" s="306"/>
      <c r="I26" s="307"/>
      <c r="J26" s="306"/>
      <c r="K26" s="314"/>
      <c r="L26" s="295"/>
      <c r="M26" s="296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</row>
    <row r="27" spans="1:70" ht="12.75" customHeight="1">
      <c r="A27" s="244"/>
      <c r="B27" s="245"/>
      <c r="C27" s="246"/>
      <c r="D27" s="308">
        <v>0</v>
      </c>
      <c r="E27" s="309"/>
      <c r="F27" s="297"/>
      <c r="G27" s="297"/>
      <c r="H27" s="301"/>
      <c r="I27" s="302"/>
      <c r="J27" s="301" t="s">
        <v>20</v>
      </c>
      <c r="K27" s="312"/>
      <c r="L27" s="290"/>
      <c r="M27" s="291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</row>
    <row r="28" spans="1:70" ht="12.75" customHeight="1">
      <c r="A28" s="247"/>
      <c r="B28" s="248"/>
      <c r="C28" s="249"/>
      <c r="D28" s="310"/>
      <c r="E28" s="311"/>
      <c r="F28" s="298"/>
      <c r="G28" s="298"/>
      <c r="H28" s="303"/>
      <c r="I28" s="304"/>
      <c r="J28" s="303"/>
      <c r="K28" s="313"/>
      <c r="L28" s="292"/>
      <c r="M28" s="293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</row>
    <row r="29" spans="1:70" ht="12.75" customHeight="1">
      <c r="A29" s="247"/>
      <c r="B29" s="248"/>
      <c r="C29" s="249"/>
      <c r="D29" s="305"/>
      <c r="E29" s="304"/>
      <c r="F29" s="299"/>
      <c r="G29" s="299"/>
      <c r="H29" s="305"/>
      <c r="I29" s="304"/>
      <c r="J29" s="305"/>
      <c r="K29" s="313"/>
      <c r="L29" s="294"/>
      <c r="M29" s="293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</row>
    <row r="30" spans="1:70" ht="12.75" customHeight="1">
      <c r="A30" s="250"/>
      <c r="B30" s="251"/>
      <c r="C30" s="252"/>
      <c r="D30" s="306"/>
      <c r="E30" s="307"/>
      <c r="F30" s="300"/>
      <c r="G30" s="300"/>
      <c r="H30" s="306"/>
      <c r="I30" s="307"/>
      <c r="J30" s="306"/>
      <c r="K30" s="314"/>
      <c r="L30" s="295"/>
      <c r="M30" s="296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</row>
    <row r="31" spans="1:70" ht="12.75" customHeight="1">
      <c r="A31" s="244"/>
      <c r="B31" s="245"/>
      <c r="C31" s="246"/>
      <c r="D31" s="308">
        <v>0</v>
      </c>
      <c r="E31" s="309"/>
      <c r="F31" s="297"/>
      <c r="G31" s="297"/>
      <c r="H31" s="301"/>
      <c r="I31" s="302"/>
      <c r="J31" s="301" t="s">
        <v>20</v>
      </c>
      <c r="K31" s="312"/>
      <c r="L31" s="290"/>
      <c r="M31" s="291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</row>
    <row r="32" spans="1:70" ht="12.75" customHeight="1">
      <c r="A32" s="247"/>
      <c r="B32" s="248"/>
      <c r="C32" s="249"/>
      <c r="D32" s="310"/>
      <c r="E32" s="311"/>
      <c r="F32" s="298"/>
      <c r="G32" s="298"/>
      <c r="H32" s="303"/>
      <c r="I32" s="304"/>
      <c r="J32" s="303"/>
      <c r="K32" s="313"/>
      <c r="L32" s="292"/>
      <c r="M32" s="293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</row>
    <row r="33" spans="1:70" customFormat="1" ht="12.75" customHeight="1">
      <c r="A33" s="247"/>
      <c r="B33" s="248"/>
      <c r="C33" s="249"/>
      <c r="D33" s="305"/>
      <c r="E33" s="304"/>
      <c r="F33" s="299"/>
      <c r="G33" s="299"/>
      <c r="H33" s="305"/>
      <c r="I33" s="304"/>
      <c r="J33" s="305"/>
      <c r="K33" s="313"/>
      <c r="L33" s="294"/>
      <c r="M33" s="293"/>
    </row>
    <row r="34" spans="1:70" customFormat="1" ht="12.75" customHeight="1">
      <c r="A34" s="250"/>
      <c r="B34" s="251"/>
      <c r="C34" s="252"/>
      <c r="D34" s="306"/>
      <c r="E34" s="307"/>
      <c r="F34" s="300"/>
      <c r="G34" s="300"/>
      <c r="H34" s="306"/>
      <c r="I34" s="307"/>
      <c r="J34" s="306"/>
      <c r="K34" s="314"/>
      <c r="L34" s="295"/>
      <c r="M34" s="296"/>
    </row>
    <row r="35" spans="1:70" ht="12.75" customHeight="1">
      <c r="A35" s="244"/>
      <c r="B35" s="245"/>
      <c r="C35" s="246"/>
      <c r="D35" s="308">
        <v>0</v>
      </c>
      <c r="E35" s="309"/>
      <c r="F35" s="297"/>
      <c r="G35" s="297"/>
      <c r="H35" s="301"/>
      <c r="I35" s="302"/>
      <c r="J35" s="301" t="s">
        <v>20</v>
      </c>
      <c r="K35" s="312"/>
      <c r="L35" s="290"/>
      <c r="M35" s="291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</row>
    <row r="36" spans="1:70" ht="12.75" customHeight="1">
      <c r="A36" s="247"/>
      <c r="B36" s="248"/>
      <c r="C36" s="249"/>
      <c r="D36" s="310"/>
      <c r="E36" s="311"/>
      <c r="F36" s="298"/>
      <c r="G36" s="298"/>
      <c r="H36" s="303"/>
      <c r="I36" s="304"/>
      <c r="J36" s="303"/>
      <c r="K36" s="313"/>
      <c r="L36" s="292"/>
      <c r="M36" s="293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</row>
    <row r="37" spans="1:70" ht="12.75" customHeight="1">
      <c r="A37" s="247"/>
      <c r="B37" s="248"/>
      <c r="C37" s="249"/>
      <c r="D37" s="305"/>
      <c r="E37" s="304"/>
      <c r="F37" s="299"/>
      <c r="G37" s="299"/>
      <c r="H37" s="305"/>
      <c r="I37" s="304"/>
      <c r="J37" s="305"/>
      <c r="K37" s="313"/>
      <c r="L37" s="294"/>
      <c r="M37" s="293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</row>
    <row r="38" spans="1:70" ht="12.75" customHeight="1">
      <c r="A38" s="250"/>
      <c r="B38" s="251"/>
      <c r="C38" s="252"/>
      <c r="D38" s="306"/>
      <c r="E38" s="307"/>
      <c r="F38" s="300"/>
      <c r="G38" s="300"/>
      <c r="H38" s="306"/>
      <c r="I38" s="307"/>
      <c r="J38" s="306"/>
      <c r="K38" s="314"/>
      <c r="L38" s="295"/>
      <c r="M38" s="296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</row>
    <row r="39" spans="1:70" ht="12.75" customHeight="1">
      <c r="A39" s="244"/>
      <c r="B39" s="245"/>
      <c r="C39" s="246"/>
      <c r="D39" s="308">
        <v>0</v>
      </c>
      <c r="E39" s="309"/>
      <c r="F39" s="297"/>
      <c r="G39" s="297"/>
      <c r="H39" s="301"/>
      <c r="I39" s="302"/>
      <c r="J39" s="301" t="s">
        <v>20</v>
      </c>
      <c r="K39" s="312"/>
      <c r="L39" s="290"/>
      <c r="M39" s="291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</row>
    <row r="40" spans="1:70" ht="12.75" customHeight="1">
      <c r="A40" s="247"/>
      <c r="B40" s="248"/>
      <c r="C40" s="249"/>
      <c r="D40" s="310"/>
      <c r="E40" s="311"/>
      <c r="F40" s="298"/>
      <c r="G40" s="298"/>
      <c r="H40" s="303"/>
      <c r="I40" s="304"/>
      <c r="J40" s="303"/>
      <c r="K40" s="313"/>
      <c r="L40" s="292"/>
      <c r="M40" s="293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</row>
    <row r="41" spans="1:70" ht="12.75" customHeight="1">
      <c r="A41" s="247"/>
      <c r="B41" s="248"/>
      <c r="C41" s="249"/>
      <c r="D41" s="305"/>
      <c r="E41" s="304"/>
      <c r="F41" s="299"/>
      <c r="G41" s="299"/>
      <c r="H41" s="305"/>
      <c r="I41" s="304"/>
      <c r="J41" s="305"/>
      <c r="K41" s="313"/>
      <c r="L41" s="294"/>
      <c r="M41" s="293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</row>
    <row r="42" spans="1:70" ht="12.75" customHeight="1">
      <c r="A42" s="250"/>
      <c r="B42" s="251"/>
      <c r="C42" s="252"/>
      <c r="D42" s="306"/>
      <c r="E42" s="307"/>
      <c r="F42" s="300"/>
      <c r="G42" s="300"/>
      <c r="H42" s="306"/>
      <c r="I42" s="307"/>
      <c r="J42" s="306"/>
      <c r="K42" s="314"/>
      <c r="L42" s="295"/>
      <c r="M42" s="296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</row>
    <row r="43" spans="1:70" customFormat="1" ht="12.75" hidden="1" customHeight="1">
      <c r="A43" s="220"/>
      <c r="B43" s="222"/>
      <c r="C43" s="221"/>
      <c r="D43" s="308">
        <v>0</v>
      </c>
      <c r="E43" s="309"/>
      <c r="F43" s="211"/>
      <c r="G43" s="212"/>
      <c r="H43" s="230"/>
      <c r="I43" s="231"/>
      <c r="J43" s="213"/>
      <c r="K43" s="214"/>
      <c r="L43" s="214"/>
      <c r="M43" s="215"/>
    </row>
    <row r="44" spans="1:70" ht="12.75" customHeight="1">
      <c r="A44" s="244"/>
      <c r="B44" s="245"/>
      <c r="C44" s="246"/>
      <c r="D44" s="310"/>
      <c r="E44" s="311"/>
      <c r="F44" s="297"/>
      <c r="G44" s="297"/>
      <c r="H44" s="301"/>
      <c r="I44" s="302"/>
      <c r="J44" s="301" t="s">
        <v>20</v>
      </c>
      <c r="K44" s="312"/>
      <c r="L44" s="290"/>
      <c r="M44" s="291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</row>
    <row r="45" spans="1:70" ht="12.75" customHeight="1">
      <c r="A45" s="247"/>
      <c r="B45" s="248"/>
      <c r="C45" s="249"/>
      <c r="D45" s="310"/>
      <c r="E45" s="311"/>
      <c r="F45" s="298"/>
      <c r="G45" s="298"/>
      <c r="H45" s="303"/>
      <c r="I45" s="304"/>
      <c r="J45" s="303"/>
      <c r="K45" s="313"/>
      <c r="L45" s="292"/>
      <c r="M45" s="293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</row>
    <row r="46" spans="1:70" ht="12.75" customHeight="1">
      <c r="A46" s="247"/>
      <c r="B46" s="248"/>
      <c r="C46" s="249"/>
      <c r="D46" s="310"/>
      <c r="E46" s="311"/>
      <c r="F46" s="299"/>
      <c r="G46" s="299"/>
      <c r="H46" s="305"/>
      <c r="I46" s="304"/>
      <c r="J46" s="305"/>
      <c r="K46" s="313"/>
      <c r="L46" s="294"/>
      <c r="M46" s="293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</row>
    <row r="47" spans="1:70" ht="12.75" customHeight="1" thickBot="1">
      <c r="A47" s="250"/>
      <c r="B47" s="251"/>
      <c r="C47" s="252"/>
      <c r="D47" s="310"/>
      <c r="E47" s="311"/>
      <c r="F47" s="300"/>
      <c r="G47" s="300"/>
      <c r="H47" s="306"/>
      <c r="I47" s="307"/>
      <c r="J47" s="306"/>
      <c r="K47" s="314"/>
      <c r="L47" s="295"/>
      <c r="M47" s="296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</row>
    <row r="48" spans="1:70" ht="15" customHeight="1" thickBot="1">
      <c r="A48" s="22"/>
      <c r="B48" s="29" t="s">
        <v>159</v>
      </c>
      <c r="C48" s="2"/>
      <c r="D48" s="226">
        <f>MIN(D24:E46)</f>
        <v>0</v>
      </c>
      <c r="E48" s="227"/>
      <c r="F48" s="227"/>
      <c r="G48" s="253"/>
      <c r="H48" s="216"/>
      <c r="I48" s="217"/>
      <c r="J48" s="254"/>
      <c r="K48" s="254"/>
      <c r="L48" s="254"/>
      <c r="M48" s="24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</row>
    <row r="49" spans="1:70" ht="15" customHeight="1" thickBot="1">
      <c r="A49" s="23"/>
      <c r="B49" s="29" t="s">
        <v>160</v>
      </c>
      <c r="C49" s="2"/>
      <c r="D49" s="286">
        <f>AVERAGE(D24:E46)</f>
        <v>0</v>
      </c>
      <c r="E49" s="228"/>
      <c r="F49" s="35" t="s">
        <v>161</v>
      </c>
      <c r="G49" s="288">
        <f>(SUM(G15:G46))*D49</f>
        <v>0</v>
      </c>
      <c r="H49" s="2"/>
      <c r="I49" s="2"/>
      <c r="J49" s="2"/>
      <c r="K49" s="2"/>
      <c r="L49" s="2"/>
      <c r="M49" s="225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</row>
    <row r="50" spans="1:70" ht="15" customHeight="1" thickBot="1">
      <c r="A50" s="23"/>
      <c r="B50" s="29" t="s">
        <v>162</v>
      </c>
      <c r="C50" s="2"/>
      <c r="D50" s="226">
        <f>MAX(D24:E46)</f>
        <v>0</v>
      </c>
      <c r="E50" s="4"/>
      <c r="F50" s="2"/>
      <c r="G50" s="2"/>
      <c r="H50" s="33"/>
      <c r="I50" s="33"/>
      <c r="J50" s="2"/>
      <c r="K50" s="2"/>
      <c r="L50" s="2"/>
      <c r="M50" s="24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</row>
    <row r="51" spans="1:70" ht="15" customHeight="1">
      <c r="A51" s="23"/>
      <c r="B51" s="29"/>
      <c r="C51" s="2"/>
      <c r="D51" s="4"/>
      <c r="E51" s="4"/>
      <c r="F51" s="35"/>
      <c r="G51" s="33"/>
      <c r="H51" s="33"/>
      <c r="I51" s="33"/>
      <c r="J51" s="2"/>
      <c r="K51" s="2"/>
      <c r="L51" s="2"/>
      <c r="M51" s="24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</row>
    <row r="52" spans="1:70" s="34" customFormat="1" ht="15" customHeight="1">
      <c r="A52" s="36" t="s">
        <v>163</v>
      </c>
      <c r="B52" s="37"/>
      <c r="C52" s="38" t="s">
        <v>164</v>
      </c>
      <c r="D52" s="32"/>
      <c r="E52" s="4"/>
      <c r="F52" s="28"/>
      <c r="G52" s="33"/>
      <c r="H52" s="33"/>
      <c r="I52" s="33"/>
      <c r="J52" s="2"/>
      <c r="K52" s="2"/>
      <c r="L52" s="2"/>
      <c r="M52" s="24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</row>
    <row r="53" spans="1:70" ht="14.4" customHeight="1" thickBot="1">
      <c r="A53" s="25"/>
      <c r="B53" s="26"/>
      <c r="C53" s="27"/>
      <c r="D53" s="223"/>
      <c r="E53" s="223"/>
      <c r="F53" s="223"/>
      <c r="G53" s="223"/>
      <c r="H53" s="223"/>
      <c r="I53" s="223"/>
      <c r="J53" s="223"/>
      <c r="K53" s="223"/>
      <c r="L53" s="223"/>
      <c r="M53" s="224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</row>
    <row r="54" spans="1:70" ht="4.5" customHeight="1">
      <c r="A54" s="1"/>
      <c r="B54" s="1"/>
      <c r="C54" s="1"/>
      <c r="D54" s="3"/>
      <c r="E54" s="3"/>
      <c r="F54" s="1"/>
      <c r="G54" s="1"/>
      <c r="H54" s="1"/>
      <c r="I54" s="1"/>
      <c r="J54" s="1"/>
      <c r="K54" s="1"/>
      <c r="L54" s="1"/>
      <c r="M54" s="1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</row>
    <row r="55" spans="1:70" ht="12.75" customHeight="1"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</row>
    <row r="56" spans="1:70"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</row>
    <row r="57" spans="1:70"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</row>
    <row r="58" spans="1:70"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</row>
    <row r="59" spans="1:70"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</row>
    <row r="60" spans="1:70"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</row>
    <row r="61" spans="1:70"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</row>
    <row r="62" spans="1:70"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</row>
    <row r="63" spans="1:70"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</row>
    <row r="64" spans="1:70"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</row>
    <row r="65" spans="35:70"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</row>
    <row r="66" spans="35:70"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</row>
    <row r="67" spans="35:70"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</row>
    <row r="68" spans="35:70"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</row>
    <row r="69" spans="35:70"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</row>
    <row r="70" spans="35:70"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</row>
    <row r="71" spans="35:70"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</row>
    <row r="72" spans="35:70"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</row>
    <row r="73" spans="35:70"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</row>
    <row r="74" spans="35:70"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</row>
    <row r="75" spans="35:70"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</row>
    <row r="76" spans="35:70"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</row>
    <row r="77" spans="35:70"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</row>
    <row r="78" spans="35:70"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</row>
    <row r="79" spans="35:70"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</row>
    <row r="80" spans="35:70"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</row>
    <row r="81" spans="35:70"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</row>
    <row r="82" spans="35:70"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</row>
    <row r="83" spans="35:70"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</row>
    <row r="84" spans="35:70"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</row>
    <row r="85" spans="35:70"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</row>
    <row r="86" spans="35:70"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</row>
    <row r="87" spans="35:70"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</row>
    <row r="88" spans="35:70"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</row>
    <row r="89" spans="35:70"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</row>
    <row r="90" spans="35:70"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</row>
    <row r="91" spans="35:70"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</row>
    <row r="92" spans="35:70"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</row>
    <row r="93" spans="35:70"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</row>
    <row r="94" spans="35:70"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</row>
    <row r="95" spans="35:70"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</row>
    <row r="96" spans="35:70"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</row>
    <row r="97" spans="35:70"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</row>
    <row r="98" spans="35:70"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</row>
    <row r="99" spans="35:70"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</row>
    <row r="100" spans="35:70"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</row>
    <row r="101" spans="35:70"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</row>
    <row r="102" spans="35:70"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</row>
    <row r="103" spans="35:70"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</row>
    <row r="104" spans="35:70"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</row>
    <row r="105" spans="35:70"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</row>
    <row r="106" spans="35:70"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</row>
    <row r="107" spans="35:70"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</row>
    <row r="108" spans="35:70"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</row>
    <row r="109" spans="35:70"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</row>
    <row r="110" spans="35:70"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</row>
    <row r="111" spans="35:70"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</row>
    <row r="112" spans="35:70"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</row>
    <row r="113" spans="35:70"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</row>
    <row r="114" spans="35:70"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</row>
    <row r="115" spans="35:70"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</row>
    <row r="116" spans="35:70"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</row>
    <row r="117" spans="35:70"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</row>
    <row r="118" spans="35:70"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</row>
    <row r="119" spans="35:70"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</row>
    <row r="120" spans="35:70"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</row>
    <row r="121" spans="35:70"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</row>
    <row r="122" spans="35:70"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</row>
    <row r="123" spans="35:70"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</row>
    <row r="124" spans="35:70"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</row>
    <row r="125" spans="35:70"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</row>
    <row r="126" spans="35:70"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</row>
    <row r="127" spans="35:70"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</row>
    <row r="128" spans="35:70"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</row>
    <row r="129" spans="35:70"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</row>
    <row r="130" spans="35:70"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</row>
    <row r="131" spans="35:70"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</row>
    <row r="132" spans="35:70"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</row>
    <row r="133" spans="35:70"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</row>
    <row r="134" spans="35:70"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</row>
    <row r="135" spans="35:70"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</row>
    <row r="136" spans="35:70"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</row>
    <row r="137" spans="35:70"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</row>
    <row r="138" spans="35:70"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</row>
    <row r="139" spans="35:70"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</row>
    <row r="140" spans="35:70"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</row>
    <row r="141" spans="35:70"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</row>
    <row r="142" spans="35:70"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</row>
    <row r="143" spans="35:70"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</row>
    <row r="144" spans="35:70"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</row>
    <row r="145" spans="35:70"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</row>
    <row r="146" spans="35:70"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</row>
    <row r="147" spans="35:70"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</row>
    <row r="148" spans="35:70"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</row>
    <row r="149" spans="35:70"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</row>
    <row r="150" spans="35:70"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</row>
    <row r="151" spans="35:70"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</row>
    <row r="152" spans="35:70"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</row>
    <row r="153" spans="35:70"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</row>
    <row r="154" spans="35:70"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</row>
    <row r="155" spans="35:70"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</row>
    <row r="156" spans="35:70"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</row>
    <row r="157" spans="35:70"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</row>
    <row r="158" spans="35:70"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</row>
    <row r="159" spans="35:70"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</row>
    <row r="160" spans="35:70"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</row>
    <row r="161" spans="35:70"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</row>
    <row r="162" spans="35:70"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</row>
    <row r="163" spans="35:70"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</row>
    <row r="164" spans="35:70"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</row>
    <row r="165" spans="35:70"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</row>
    <row r="166" spans="35:70"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</row>
    <row r="167" spans="35:70"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</row>
    <row r="168" spans="35:70"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</row>
    <row r="169" spans="35:70"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</row>
    <row r="170" spans="35:70"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</row>
    <row r="171" spans="35:70"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</row>
    <row r="172" spans="35:70"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</row>
    <row r="173" spans="35:70"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</row>
    <row r="174" spans="35:70"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</row>
    <row r="175" spans="35:70"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</row>
    <row r="176" spans="35:70"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</row>
  </sheetData>
  <mergeCells count="59">
    <mergeCell ref="L12:M14"/>
    <mergeCell ref="D15:E18"/>
    <mergeCell ref="A1:B4"/>
    <mergeCell ref="C1:I4"/>
    <mergeCell ref="J1:M4"/>
    <mergeCell ref="C6:I6"/>
    <mergeCell ref="D11:E14"/>
    <mergeCell ref="F11:F14"/>
    <mergeCell ref="G11:G14"/>
    <mergeCell ref="H11:I14"/>
    <mergeCell ref="J11:M11"/>
    <mergeCell ref="J12:K14"/>
    <mergeCell ref="F15:F18"/>
    <mergeCell ref="G15:G18"/>
    <mergeCell ref="H15:I18"/>
    <mergeCell ref="J15:K18"/>
    <mergeCell ref="L15:M18"/>
    <mergeCell ref="D19:E22"/>
    <mergeCell ref="F19:F22"/>
    <mergeCell ref="G19:G22"/>
    <mergeCell ref="H19:I22"/>
    <mergeCell ref="J19:K22"/>
    <mergeCell ref="L19:M22"/>
    <mergeCell ref="L27:M30"/>
    <mergeCell ref="D23:E26"/>
    <mergeCell ref="F23:F26"/>
    <mergeCell ref="G23:G26"/>
    <mergeCell ref="H23:I26"/>
    <mergeCell ref="J23:K26"/>
    <mergeCell ref="L23:M26"/>
    <mergeCell ref="D27:E30"/>
    <mergeCell ref="F27:F30"/>
    <mergeCell ref="G27:G30"/>
    <mergeCell ref="H27:I30"/>
    <mergeCell ref="J27:K30"/>
    <mergeCell ref="L35:M38"/>
    <mergeCell ref="D31:E34"/>
    <mergeCell ref="F31:F34"/>
    <mergeCell ref="G31:G34"/>
    <mergeCell ref="H31:I34"/>
    <mergeCell ref="J31:K34"/>
    <mergeCell ref="L31:M34"/>
    <mergeCell ref="D35:E38"/>
    <mergeCell ref="F35:F38"/>
    <mergeCell ref="G35:G38"/>
    <mergeCell ref="H35:I38"/>
    <mergeCell ref="J35:K38"/>
    <mergeCell ref="L39:M42"/>
    <mergeCell ref="F44:F47"/>
    <mergeCell ref="G44:G47"/>
    <mergeCell ref="H44:I47"/>
    <mergeCell ref="D39:E42"/>
    <mergeCell ref="F39:F42"/>
    <mergeCell ref="G39:G42"/>
    <mergeCell ref="H39:I42"/>
    <mergeCell ref="J39:K42"/>
    <mergeCell ref="J44:K47"/>
    <mergeCell ref="L44:M47"/>
    <mergeCell ref="D43:E47"/>
  </mergeCells>
  <conditionalFormatting sqref="D15:E42 D43">
    <cfRule type="cellIs" dxfId="23" priority="1" operator="greaterThan">
      <formula>"0.5"</formula>
    </cfRule>
    <cfRule type="cellIs" dxfId="22" priority="2" operator="between">
      <formula>"0.1"</formula>
      <formula>"0.5"</formula>
    </cfRule>
    <cfRule type="cellIs" dxfId="21" priority="3" operator="equal">
      <formula>0</formula>
    </cfRule>
  </conditionalFormatting>
  <printOptions horizontalCentered="1" verticalCentered="1"/>
  <pageMargins left="0.27559055118110237" right="0.19685039370078741" top="0.43307086614173229" bottom="0.43307086614173229" header="0.31496062992125984" footer="0.39370078740157483"/>
  <pageSetup paperSize="9" orientation="portrait" horizontalDpi="1200" verticalDpi="1200" r:id="rId1"/>
  <headerFooter alignWithMargins="0">
    <oddHeader>&amp;LPI 3010 Enclosure 1(a) / 09.24</oddHeader>
    <oddFooter xml:space="preserve"><![CDATA[&L_x000D_&1#&"Arial"&10&K000000 [Internal]&R&",Standard"&7    ]]>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F442B4-C392-436D-B52A-55EA5647E51B}">
  <sheetPr>
    <pageSetUpPr fitToPage="1"/>
  </sheetPr>
  <dimension ref="A1:BR176"/>
  <sheetViews>
    <sheetView showGridLines="0" topLeftCell="A34" zoomScale="145" zoomScaleNormal="145" zoomScaleSheetLayoutView="115" zoomScalePageLayoutView="85" workbookViewId="0">
      <selection activeCell="P42" sqref="P42"/>
    </sheetView>
  </sheetViews>
  <sheetFormatPr baseColWidth="10" defaultColWidth="11.44140625" defaultRowHeight="12.6"/>
  <cols>
    <col min="1" max="1" customWidth="true" style="2" width="13.33203125"/>
    <col min="2" max="2" customWidth="true" style="2" width="11.5546875"/>
    <col min="3" max="3" customWidth="true" style="2" width="6.33203125"/>
    <col min="4" max="4" customWidth="true" style="4" width="5.5546875"/>
    <col min="5" max="5" customWidth="true" style="4" width="5.6640625"/>
    <col min="6" max="7" customWidth="true" style="2" width="10.6640625"/>
    <col min="8" max="13" customWidth="true" style="2" width="5.5546875"/>
    <col min="14" max="16384" style="2" width="11.44140625"/>
  </cols>
  <sheetData>
    <row r="1" spans="1:70" ht="7.95" customHeight="1">
      <c r="A1" s="325"/>
      <c r="B1" s="326"/>
      <c r="C1" s="331" t="s">
        <v>144</v>
      </c>
      <c r="D1" s="332"/>
      <c r="E1" s="332"/>
      <c r="F1" s="332"/>
      <c r="G1" s="332"/>
      <c r="H1" s="332"/>
      <c r="I1" s="333"/>
      <c r="J1" s="340" t="s">
        <v>207</v>
      </c>
      <c r="K1" s="341"/>
      <c r="L1" s="341"/>
      <c r="M1" s="34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</row>
    <row r="2" spans="1:70" s="30" customFormat="1" ht="15" customHeight="1">
      <c r="A2" s="327"/>
      <c r="B2" s="328"/>
      <c r="C2" s="334"/>
      <c r="D2" s="335"/>
      <c r="E2" s="335"/>
      <c r="F2" s="335"/>
      <c r="G2" s="335"/>
      <c r="H2" s="335"/>
      <c r="I2" s="336"/>
      <c r="J2" s="343"/>
      <c r="K2" s="344"/>
      <c r="L2" s="344"/>
      <c r="M2" s="345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</row>
    <row r="3" spans="1:70" s="30" customFormat="1" ht="17.100000000000001" customHeight="1">
      <c r="A3" s="327"/>
      <c r="B3" s="328"/>
      <c r="C3" s="334"/>
      <c r="D3" s="335"/>
      <c r="E3" s="335"/>
      <c r="F3" s="335"/>
      <c r="G3" s="335"/>
      <c r="H3" s="335"/>
      <c r="I3" s="336"/>
      <c r="J3" s="343"/>
      <c r="K3" s="344"/>
      <c r="L3" s="344"/>
      <c r="M3" s="345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</row>
    <row r="4" spans="1:70" s="30" customFormat="1" ht="14.1" customHeight="1" thickBot="1">
      <c r="A4" s="329"/>
      <c r="B4" s="330"/>
      <c r="C4" s="337"/>
      <c r="D4" s="338"/>
      <c r="E4" s="338"/>
      <c r="F4" s="338"/>
      <c r="G4" s="338"/>
      <c r="H4" s="338"/>
      <c r="I4" s="339"/>
      <c r="J4" s="346"/>
      <c r="K4" s="347"/>
      <c r="L4" s="347"/>
      <c r="M4" s="348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</row>
    <row r="5" spans="1:70" ht="6.75" customHeight="1">
      <c r="A5" s="20"/>
      <c r="B5" s="5"/>
      <c r="C5" s="5"/>
      <c r="D5" s="6"/>
      <c r="E5" s="6"/>
      <c r="F5" s="5"/>
      <c r="G5" s="5"/>
      <c r="H5" s="5"/>
      <c r="I5" s="5"/>
      <c r="J5" s="5"/>
      <c r="K5" s="5"/>
      <c r="L5" s="5"/>
      <c r="M5" s="17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</row>
    <row r="6" spans="1:70" ht="17.399999999999999">
      <c r="A6" s="21"/>
      <c r="B6" s="13"/>
      <c r="C6" s="349" t="s">
        <v>145</v>
      </c>
      <c r="D6" s="349"/>
      <c r="E6" s="349"/>
      <c r="F6" s="349"/>
      <c r="G6" s="349"/>
      <c r="H6" s="349"/>
      <c r="I6" s="349"/>
      <c r="J6" s="258"/>
      <c r="L6" s="13"/>
      <c r="M6" s="18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</row>
    <row r="7" spans="1:70" ht="6" customHeight="1">
      <c r="A7" s="16"/>
      <c r="B7" s="7"/>
      <c r="C7" s="7"/>
      <c r="D7" s="8"/>
      <c r="E7" s="9"/>
      <c r="F7" s="10"/>
      <c r="G7" s="7"/>
      <c r="H7" s="7"/>
      <c r="I7" s="7"/>
      <c r="J7" s="7"/>
      <c r="K7" s="7"/>
      <c r="L7" s="7"/>
      <c r="M7" s="19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</row>
    <row r="8" spans="1:70" ht="12.75" customHeight="1">
      <c r="A8" s="20" t="s">
        <v>146</v>
      </c>
      <c r="B8" s="259"/>
      <c r="C8" s="10"/>
      <c r="D8" s="14"/>
      <c r="F8" s="15" t="s">
        <v>147</v>
      </c>
      <c r="G8" s="5"/>
      <c r="H8" s="5"/>
      <c r="I8" s="5"/>
      <c r="J8" s="10"/>
      <c r="K8" s="11"/>
      <c r="L8" s="12"/>
      <c r="M8" s="17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</row>
    <row r="9" spans="1:70" ht="12.75" customHeight="1">
      <c r="A9" s="21"/>
      <c r="B9" s="259"/>
      <c r="C9" s="10"/>
      <c r="D9" s="14"/>
      <c r="F9" s="15"/>
      <c r="G9" s="5"/>
      <c r="H9" s="5"/>
      <c r="I9" s="5"/>
      <c r="J9" s="10"/>
      <c r="K9" s="11"/>
      <c r="L9" s="12"/>
      <c r="M9" s="17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</row>
    <row r="10" spans="1:70" ht="6.75" customHeight="1" thickBot="1">
      <c r="A10" s="16"/>
      <c r="B10" s="5"/>
      <c r="C10" s="5"/>
      <c r="D10" s="6"/>
      <c r="E10" s="6"/>
      <c r="F10" s="12"/>
      <c r="G10" s="5"/>
      <c r="H10" s="5"/>
      <c r="I10" s="5"/>
      <c r="J10" s="5"/>
      <c r="K10" s="5"/>
      <c r="L10" s="5"/>
      <c r="M10" s="17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</row>
    <row r="11" spans="1:70" ht="12.75" customHeight="1" thickBot="1">
      <c r="A11" s="235" t="s">
        <v>148</v>
      </c>
      <c r="B11" s="236"/>
      <c r="C11" s="237"/>
      <c r="D11" s="350" t="s">
        <v>149</v>
      </c>
      <c r="E11" s="351"/>
      <c r="F11" s="356" t="s">
        <v>150</v>
      </c>
      <c r="G11" s="356" t="s">
        <v>151</v>
      </c>
      <c r="H11" s="359" t="s">
        <v>152</v>
      </c>
      <c r="I11" s="360"/>
      <c r="J11" s="365" t="s">
        <v>153</v>
      </c>
      <c r="K11" s="366"/>
      <c r="L11" s="366"/>
      <c r="M11" s="367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</row>
    <row r="12" spans="1:70" ht="12.75" customHeight="1">
      <c r="A12" s="238" t="s">
        <v>154</v>
      </c>
      <c r="B12" s="239"/>
      <c r="C12" s="240"/>
      <c r="D12" s="352"/>
      <c r="E12" s="353"/>
      <c r="F12" s="357"/>
      <c r="G12" s="357"/>
      <c r="H12" s="361"/>
      <c r="I12" s="362"/>
      <c r="J12" s="359" t="s">
        <v>155</v>
      </c>
      <c r="K12" s="360"/>
      <c r="L12" s="320" t="s">
        <v>156</v>
      </c>
      <c r="M12" s="321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</row>
    <row r="13" spans="1:70" ht="12.75" customHeight="1">
      <c r="A13" s="238" t="s">
        <v>157</v>
      </c>
      <c r="B13" s="239"/>
      <c r="C13" s="240"/>
      <c r="D13" s="352"/>
      <c r="E13" s="353"/>
      <c r="F13" s="357"/>
      <c r="G13" s="357"/>
      <c r="H13" s="361"/>
      <c r="I13" s="362"/>
      <c r="J13" s="368"/>
      <c r="K13" s="369"/>
      <c r="L13" s="322"/>
      <c r="M13" s="323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</row>
    <row r="14" spans="1:70" ht="12.75" customHeight="1">
      <c r="A14" s="241" t="s">
        <v>158</v>
      </c>
      <c r="B14" s="242"/>
      <c r="C14" s="243"/>
      <c r="D14" s="354"/>
      <c r="E14" s="355"/>
      <c r="F14" s="358"/>
      <c r="G14" s="358"/>
      <c r="H14" s="363"/>
      <c r="I14" s="364"/>
      <c r="J14" s="361"/>
      <c r="K14" s="369"/>
      <c r="L14" s="324"/>
      <c r="M14" s="323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</row>
    <row r="15" spans="1:70" ht="12.75" customHeight="1">
      <c r="A15" s="244"/>
      <c r="B15" s="245"/>
      <c r="C15" s="246"/>
      <c r="D15" s="308">
        <v>0</v>
      </c>
      <c r="E15" s="309"/>
      <c r="F15" s="316"/>
      <c r="G15" s="315"/>
      <c r="H15" s="308"/>
      <c r="I15" s="302"/>
      <c r="J15" s="301" t="s">
        <v>20</v>
      </c>
      <c r="K15" s="312"/>
      <c r="L15" s="290"/>
      <c r="M15" s="291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</row>
    <row r="16" spans="1:70" ht="12.75" customHeight="1">
      <c r="A16" s="247"/>
      <c r="B16" s="248"/>
      <c r="C16" s="249"/>
      <c r="D16" s="310"/>
      <c r="E16" s="311"/>
      <c r="F16" s="317"/>
      <c r="G16" s="298"/>
      <c r="H16" s="303"/>
      <c r="I16" s="304"/>
      <c r="J16" s="303"/>
      <c r="K16" s="313"/>
      <c r="L16" s="292"/>
      <c r="M16" s="293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</row>
    <row r="17" spans="1:70" ht="12.75" customHeight="1">
      <c r="A17" s="247"/>
      <c r="B17" s="248"/>
      <c r="C17" s="249"/>
      <c r="D17" s="305"/>
      <c r="E17" s="304"/>
      <c r="F17" s="318"/>
      <c r="G17" s="299"/>
      <c r="H17" s="305"/>
      <c r="I17" s="304"/>
      <c r="J17" s="305"/>
      <c r="K17" s="313"/>
      <c r="L17" s="294"/>
      <c r="M17" s="293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</row>
    <row r="18" spans="1:70" ht="12.75" customHeight="1">
      <c r="A18" s="250"/>
      <c r="B18" s="251"/>
      <c r="C18" s="252"/>
      <c r="D18" s="306"/>
      <c r="E18" s="307"/>
      <c r="F18" s="319"/>
      <c r="G18" s="300"/>
      <c r="H18" s="306"/>
      <c r="I18" s="307"/>
      <c r="J18" s="306"/>
      <c r="K18" s="314"/>
      <c r="L18" s="295"/>
      <c r="M18" s="296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</row>
    <row r="19" spans="1:70" ht="12.75" customHeight="1">
      <c r="A19" s="244"/>
      <c r="B19" s="245"/>
      <c r="C19" s="246"/>
      <c r="D19" s="308">
        <v>0</v>
      </c>
      <c r="E19" s="309"/>
      <c r="F19" s="316"/>
      <c r="G19" s="315"/>
      <c r="H19" s="301"/>
      <c r="I19" s="302"/>
      <c r="J19" s="301" t="s">
        <v>20</v>
      </c>
      <c r="K19" s="312"/>
      <c r="L19" s="290"/>
      <c r="M19" s="291"/>
      <c r="P19" s="229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</row>
    <row r="20" spans="1:70" ht="12.75" customHeight="1">
      <c r="A20" s="247"/>
      <c r="B20" s="248"/>
      <c r="C20" s="249"/>
      <c r="D20" s="310"/>
      <c r="E20" s="311"/>
      <c r="F20" s="317"/>
      <c r="G20" s="298"/>
      <c r="H20" s="303"/>
      <c r="I20" s="304"/>
      <c r="J20" s="303"/>
      <c r="K20" s="313"/>
      <c r="L20" s="292"/>
      <c r="M20" s="293"/>
      <c r="P20" s="229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</row>
    <row r="21" spans="1:70" customFormat="1" ht="12.75" customHeight="1">
      <c r="A21" s="247"/>
      <c r="B21" s="248"/>
      <c r="C21" s="249"/>
      <c r="D21" s="305"/>
      <c r="E21" s="304"/>
      <c r="F21" s="318"/>
      <c r="G21" s="299"/>
      <c r="H21" s="305"/>
      <c r="I21" s="304"/>
      <c r="J21" s="305"/>
      <c r="K21" s="313"/>
      <c r="L21" s="294"/>
      <c r="M21" s="293"/>
    </row>
    <row r="22" spans="1:70" customFormat="1" ht="12.75" customHeight="1">
      <c r="A22" s="250"/>
      <c r="B22" s="251"/>
      <c r="C22" s="252"/>
      <c r="D22" s="306"/>
      <c r="E22" s="307"/>
      <c r="F22" s="319"/>
      <c r="G22" s="300"/>
      <c r="H22" s="306"/>
      <c r="I22" s="307"/>
      <c r="J22" s="306"/>
      <c r="K22" s="314"/>
      <c r="L22" s="295"/>
      <c r="M22" s="296"/>
    </row>
    <row r="23" spans="1:70" ht="12.75" customHeight="1">
      <c r="A23" s="244"/>
      <c r="B23" s="245"/>
      <c r="C23" s="246"/>
      <c r="D23" s="308">
        <v>0</v>
      </c>
      <c r="E23" s="309"/>
      <c r="F23" s="315"/>
      <c r="G23" s="297"/>
      <c r="H23" s="301"/>
      <c r="I23" s="302"/>
      <c r="J23" s="301" t="s">
        <v>20</v>
      </c>
      <c r="K23" s="312"/>
      <c r="L23" s="290"/>
      <c r="M23" s="291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</row>
    <row r="24" spans="1:70" ht="12.75" customHeight="1">
      <c r="A24" s="247"/>
      <c r="B24" s="248"/>
      <c r="C24" s="249"/>
      <c r="D24" s="310"/>
      <c r="E24" s="311"/>
      <c r="F24" s="298"/>
      <c r="G24" s="298"/>
      <c r="H24" s="303"/>
      <c r="I24" s="304"/>
      <c r="J24" s="303"/>
      <c r="K24" s="313"/>
      <c r="L24" s="292"/>
      <c r="M24" s="293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</row>
    <row r="25" spans="1:70" ht="12.75" customHeight="1">
      <c r="A25" s="247"/>
      <c r="B25" s="248"/>
      <c r="C25" s="249"/>
      <c r="D25" s="305"/>
      <c r="E25" s="304"/>
      <c r="F25" s="299"/>
      <c r="G25" s="299"/>
      <c r="H25" s="305"/>
      <c r="I25" s="304"/>
      <c r="J25" s="305"/>
      <c r="K25" s="313"/>
      <c r="L25" s="294"/>
      <c r="M25" s="293"/>
      <c r="P25" s="229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</row>
    <row r="26" spans="1:70" ht="12.75" customHeight="1">
      <c r="A26" s="250"/>
      <c r="B26" s="251"/>
      <c r="C26" s="252"/>
      <c r="D26" s="306"/>
      <c r="E26" s="307"/>
      <c r="F26" s="300"/>
      <c r="G26" s="300"/>
      <c r="H26" s="306"/>
      <c r="I26" s="307"/>
      <c r="J26" s="306"/>
      <c r="K26" s="314"/>
      <c r="L26" s="295"/>
      <c r="M26" s="296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</row>
    <row r="27" spans="1:70" ht="12.75" customHeight="1">
      <c r="A27" s="244"/>
      <c r="B27" s="245"/>
      <c r="C27" s="246"/>
      <c r="D27" s="308">
        <v>0</v>
      </c>
      <c r="E27" s="309"/>
      <c r="F27" s="297"/>
      <c r="G27" s="297"/>
      <c r="H27" s="301"/>
      <c r="I27" s="302"/>
      <c r="J27" s="301" t="s">
        <v>20</v>
      </c>
      <c r="K27" s="312"/>
      <c r="L27" s="290"/>
      <c r="M27" s="291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</row>
    <row r="28" spans="1:70" ht="12.75" customHeight="1">
      <c r="A28" s="247"/>
      <c r="B28" s="248"/>
      <c r="C28" s="249"/>
      <c r="D28" s="310"/>
      <c r="E28" s="311"/>
      <c r="F28" s="298"/>
      <c r="G28" s="298"/>
      <c r="H28" s="303"/>
      <c r="I28" s="304"/>
      <c r="J28" s="303"/>
      <c r="K28" s="313"/>
      <c r="L28" s="292"/>
      <c r="M28" s="293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</row>
    <row r="29" spans="1:70" ht="12.75" customHeight="1">
      <c r="A29" s="247"/>
      <c r="B29" s="248"/>
      <c r="C29" s="249"/>
      <c r="D29" s="305"/>
      <c r="E29" s="304"/>
      <c r="F29" s="299"/>
      <c r="G29" s="299"/>
      <c r="H29" s="305"/>
      <c r="I29" s="304"/>
      <c r="J29" s="305"/>
      <c r="K29" s="313"/>
      <c r="L29" s="294"/>
      <c r="M29" s="293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</row>
    <row r="30" spans="1:70" ht="12.75" customHeight="1">
      <c r="A30" s="250"/>
      <c r="B30" s="251"/>
      <c r="C30" s="252"/>
      <c r="D30" s="306"/>
      <c r="E30" s="307"/>
      <c r="F30" s="300"/>
      <c r="G30" s="300"/>
      <c r="H30" s="306"/>
      <c r="I30" s="307"/>
      <c r="J30" s="306"/>
      <c r="K30" s="314"/>
      <c r="L30" s="295"/>
      <c r="M30" s="296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</row>
    <row r="31" spans="1:70" ht="12.75" customHeight="1">
      <c r="A31" s="244"/>
      <c r="B31" s="245"/>
      <c r="C31" s="246"/>
      <c r="D31" s="308">
        <v>0</v>
      </c>
      <c r="E31" s="309"/>
      <c r="F31" s="297"/>
      <c r="G31" s="297"/>
      <c r="H31" s="301"/>
      <c r="I31" s="302"/>
      <c r="J31" s="301" t="s">
        <v>20</v>
      </c>
      <c r="K31" s="312"/>
      <c r="L31" s="290"/>
      <c r="M31" s="291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</row>
    <row r="32" spans="1:70" ht="12.75" customHeight="1">
      <c r="A32" s="247"/>
      <c r="B32" s="248"/>
      <c r="C32" s="249"/>
      <c r="D32" s="310"/>
      <c r="E32" s="311"/>
      <c r="F32" s="298"/>
      <c r="G32" s="298"/>
      <c r="H32" s="303"/>
      <c r="I32" s="304"/>
      <c r="J32" s="303"/>
      <c r="K32" s="313"/>
      <c r="L32" s="292"/>
      <c r="M32" s="293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</row>
    <row r="33" spans="1:70" customFormat="1" ht="12.75" customHeight="1">
      <c r="A33" s="247"/>
      <c r="B33" s="248"/>
      <c r="C33" s="249"/>
      <c r="D33" s="305"/>
      <c r="E33" s="304"/>
      <c r="F33" s="299"/>
      <c r="G33" s="299"/>
      <c r="H33" s="305"/>
      <c r="I33" s="304"/>
      <c r="J33" s="305"/>
      <c r="K33" s="313"/>
      <c r="L33" s="294"/>
      <c r="M33" s="293"/>
    </row>
    <row r="34" spans="1:70" customFormat="1" ht="12.75" customHeight="1">
      <c r="A34" s="250"/>
      <c r="B34" s="251"/>
      <c r="C34" s="252"/>
      <c r="D34" s="306"/>
      <c r="E34" s="307"/>
      <c r="F34" s="300"/>
      <c r="G34" s="300"/>
      <c r="H34" s="306"/>
      <c r="I34" s="307"/>
      <c r="J34" s="306"/>
      <c r="K34" s="314"/>
      <c r="L34" s="295"/>
      <c r="M34" s="296"/>
    </row>
    <row r="35" spans="1:70" ht="12.75" customHeight="1">
      <c r="A35" s="244"/>
      <c r="B35" s="245"/>
      <c r="C35" s="246"/>
      <c r="D35" s="308">
        <v>0</v>
      </c>
      <c r="E35" s="309"/>
      <c r="F35" s="297"/>
      <c r="G35" s="297"/>
      <c r="H35" s="301"/>
      <c r="I35" s="302"/>
      <c r="J35" s="301" t="s">
        <v>20</v>
      </c>
      <c r="K35" s="312"/>
      <c r="L35" s="290"/>
      <c r="M35" s="291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</row>
    <row r="36" spans="1:70" ht="12.75" customHeight="1">
      <c r="A36" s="247"/>
      <c r="B36" s="248"/>
      <c r="C36" s="249"/>
      <c r="D36" s="310"/>
      <c r="E36" s="311"/>
      <c r="F36" s="298"/>
      <c r="G36" s="298"/>
      <c r="H36" s="303"/>
      <c r="I36" s="304"/>
      <c r="J36" s="303"/>
      <c r="K36" s="313"/>
      <c r="L36" s="292"/>
      <c r="M36" s="293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</row>
    <row r="37" spans="1:70" ht="12.75" customHeight="1">
      <c r="A37" s="247"/>
      <c r="B37" s="248"/>
      <c r="C37" s="249"/>
      <c r="D37" s="305"/>
      <c r="E37" s="304"/>
      <c r="F37" s="299"/>
      <c r="G37" s="299"/>
      <c r="H37" s="305"/>
      <c r="I37" s="304"/>
      <c r="J37" s="305"/>
      <c r="K37" s="313"/>
      <c r="L37" s="294"/>
      <c r="M37" s="293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</row>
    <row r="38" spans="1:70" ht="12.75" customHeight="1">
      <c r="A38" s="250"/>
      <c r="B38" s="251"/>
      <c r="C38" s="252"/>
      <c r="D38" s="306"/>
      <c r="E38" s="307"/>
      <c r="F38" s="300"/>
      <c r="G38" s="300"/>
      <c r="H38" s="306"/>
      <c r="I38" s="307"/>
      <c r="J38" s="306"/>
      <c r="K38" s="314"/>
      <c r="L38" s="295"/>
      <c r="M38" s="296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</row>
    <row r="39" spans="1:70" ht="12.75" customHeight="1">
      <c r="A39" s="244"/>
      <c r="B39" s="245"/>
      <c r="C39" s="246"/>
      <c r="D39" s="308">
        <v>0</v>
      </c>
      <c r="E39" s="309"/>
      <c r="F39" s="297"/>
      <c r="G39" s="297"/>
      <c r="H39" s="301"/>
      <c r="I39" s="302"/>
      <c r="J39" s="301" t="s">
        <v>20</v>
      </c>
      <c r="K39" s="312"/>
      <c r="L39" s="290"/>
      <c r="M39" s="291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</row>
    <row r="40" spans="1:70" ht="12.75" customHeight="1">
      <c r="A40" s="247"/>
      <c r="B40" s="248"/>
      <c r="C40" s="249"/>
      <c r="D40" s="310"/>
      <c r="E40" s="311"/>
      <c r="F40" s="298"/>
      <c r="G40" s="298"/>
      <c r="H40" s="303"/>
      <c r="I40" s="304"/>
      <c r="J40" s="303"/>
      <c r="K40" s="313"/>
      <c r="L40" s="292"/>
      <c r="M40" s="293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</row>
    <row r="41" spans="1:70" ht="12.75" customHeight="1">
      <c r="A41" s="247"/>
      <c r="B41" s="248"/>
      <c r="C41" s="249"/>
      <c r="D41" s="305"/>
      <c r="E41" s="304"/>
      <c r="F41" s="299"/>
      <c r="G41" s="299"/>
      <c r="H41" s="305"/>
      <c r="I41" s="304"/>
      <c r="J41" s="305"/>
      <c r="K41" s="313"/>
      <c r="L41" s="294"/>
      <c r="M41" s="293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</row>
    <row r="42" spans="1:70" ht="12.75" customHeight="1">
      <c r="A42" s="250"/>
      <c r="B42" s="251"/>
      <c r="C42" s="252"/>
      <c r="D42" s="306"/>
      <c r="E42" s="307"/>
      <c r="F42" s="300"/>
      <c r="G42" s="300"/>
      <c r="H42" s="306"/>
      <c r="I42" s="307"/>
      <c r="J42" s="306"/>
      <c r="K42" s="314"/>
      <c r="L42" s="295"/>
      <c r="M42" s="296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</row>
    <row r="43" spans="1:70" customFormat="1" ht="12.75" hidden="1" customHeight="1">
      <c r="A43" s="220"/>
      <c r="B43" s="222"/>
      <c r="C43" s="221"/>
      <c r="D43" s="308">
        <v>0</v>
      </c>
      <c r="E43" s="309"/>
      <c r="F43" s="211"/>
      <c r="G43" s="212"/>
      <c r="H43" s="230"/>
      <c r="I43" s="231"/>
      <c r="J43" s="213"/>
      <c r="K43" s="214"/>
      <c r="L43" s="214"/>
      <c r="M43" s="215"/>
    </row>
    <row r="44" spans="1:70" ht="12.75" customHeight="1">
      <c r="A44" s="244"/>
      <c r="B44" s="245"/>
      <c r="C44" s="246"/>
      <c r="D44" s="310"/>
      <c r="E44" s="311"/>
      <c r="F44" s="297"/>
      <c r="G44" s="297"/>
      <c r="H44" s="301"/>
      <c r="I44" s="302"/>
      <c r="J44" s="301" t="s">
        <v>20</v>
      </c>
      <c r="K44" s="312"/>
      <c r="L44" s="290"/>
      <c r="M44" s="291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</row>
    <row r="45" spans="1:70" ht="12.75" customHeight="1">
      <c r="A45" s="247"/>
      <c r="B45" s="248"/>
      <c r="C45" s="249"/>
      <c r="D45" s="310"/>
      <c r="E45" s="311"/>
      <c r="F45" s="298"/>
      <c r="G45" s="298"/>
      <c r="H45" s="303"/>
      <c r="I45" s="304"/>
      <c r="J45" s="303"/>
      <c r="K45" s="313"/>
      <c r="L45" s="292"/>
      <c r="M45" s="293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</row>
    <row r="46" spans="1:70" ht="12.75" customHeight="1">
      <c r="A46" s="247"/>
      <c r="B46" s="248"/>
      <c r="C46" s="249"/>
      <c r="D46" s="310"/>
      <c r="E46" s="311"/>
      <c r="F46" s="299"/>
      <c r="G46" s="299"/>
      <c r="H46" s="305"/>
      <c r="I46" s="304"/>
      <c r="J46" s="305"/>
      <c r="K46" s="313"/>
      <c r="L46" s="294"/>
      <c r="M46" s="293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</row>
    <row r="47" spans="1:70" ht="12.75" customHeight="1" thickBot="1">
      <c r="A47" s="250"/>
      <c r="B47" s="251"/>
      <c r="C47" s="252"/>
      <c r="D47" s="310"/>
      <c r="E47" s="311"/>
      <c r="F47" s="300"/>
      <c r="G47" s="300"/>
      <c r="H47" s="306"/>
      <c r="I47" s="307"/>
      <c r="J47" s="306"/>
      <c r="K47" s="314"/>
      <c r="L47" s="295"/>
      <c r="M47" s="296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</row>
    <row r="48" spans="1:70" ht="15" customHeight="1" thickBot="1">
      <c r="A48" s="22"/>
      <c r="B48" s="29" t="s">
        <v>159</v>
      </c>
      <c r="C48" s="2"/>
      <c r="D48" s="226">
        <f>MIN(D24:E46)</f>
        <v>0</v>
      </c>
      <c r="E48" s="227"/>
      <c r="F48" s="227"/>
      <c r="G48" s="253"/>
      <c r="H48" s="216"/>
      <c r="I48" s="217"/>
      <c r="J48" s="254"/>
      <c r="K48" s="254"/>
      <c r="L48" s="254"/>
      <c r="M48" s="24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</row>
    <row r="49" spans="1:70" ht="15" customHeight="1" thickBot="1">
      <c r="A49" s="23"/>
      <c r="B49" s="29" t="s">
        <v>160</v>
      </c>
      <c r="C49" s="2"/>
      <c r="D49" s="286">
        <f>AVERAGE(D24:E46)</f>
        <v>0</v>
      </c>
      <c r="E49" s="228"/>
      <c r="F49" s="35" t="s">
        <v>161</v>
      </c>
      <c r="G49" s="288">
        <f>(SUM(G15:G46))*D49</f>
        <v>0</v>
      </c>
      <c r="H49" s="2"/>
      <c r="I49" s="2"/>
      <c r="J49" s="2"/>
      <c r="K49" s="2"/>
      <c r="L49" s="2"/>
      <c r="M49" s="225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</row>
    <row r="50" spans="1:70" ht="15" customHeight="1" thickBot="1">
      <c r="A50" s="23"/>
      <c r="B50" s="29" t="s">
        <v>162</v>
      </c>
      <c r="C50" s="2"/>
      <c r="D50" s="226">
        <f>MAX(D24:E46)</f>
        <v>0</v>
      </c>
      <c r="E50" s="4"/>
      <c r="F50" s="2"/>
      <c r="G50" s="2"/>
      <c r="H50" s="33"/>
      <c r="I50" s="33"/>
      <c r="J50" s="2"/>
      <c r="K50" s="2"/>
      <c r="L50" s="2"/>
      <c r="M50" s="24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</row>
    <row r="51" spans="1:70" ht="15" customHeight="1">
      <c r="A51" s="23"/>
      <c r="B51" s="29"/>
      <c r="C51" s="2"/>
      <c r="D51" s="4"/>
      <c r="E51" s="4"/>
      <c r="F51" s="35"/>
      <c r="G51" s="33"/>
      <c r="H51" s="33"/>
      <c r="I51" s="33"/>
      <c r="J51" s="2"/>
      <c r="K51" s="2"/>
      <c r="L51" s="2"/>
      <c r="M51" s="24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</row>
    <row r="52" spans="1:70" s="34" customFormat="1" ht="15" customHeight="1">
      <c r="A52" s="36" t="s">
        <v>163</v>
      </c>
      <c r="B52" s="37"/>
      <c r="C52" s="38" t="s">
        <v>164</v>
      </c>
      <c r="D52" s="32"/>
      <c r="E52" s="4"/>
      <c r="F52" s="28"/>
      <c r="G52" s="33"/>
      <c r="H52" s="33"/>
      <c r="I52" s="33"/>
      <c r="J52" s="2"/>
      <c r="K52" s="2"/>
      <c r="L52" s="2"/>
      <c r="M52" s="24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</row>
    <row r="53" spans="1:70" ht="14.4" customHeight="1" thickBot="1">
      <c r="A53" s="25"/>
      <c r="B53" s="26"/>
      <c r="C53" s="27"/>
      <c r="D53" s="223"/>
      <c r="E53" s="223"/>
      <c r="F53" s="223"/>
      <c r="G53" s="223"/>
      <c r="H53" s="223"/>
      <c r="I53" s="223"/>
      <c r="J53" s="223"/>
      <c r="K53" s="223"/>
      <c r="L53" s="223"/>
      <c r="M53" s="224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</row>
    <row r="54" spans="1:70" ht="4.5" customHeight="1">
      <c r="A54" s="1"/>
      <c r="B54" s="1"/>
      <c r="C54" s="1"/>
      <c r="D54" s="3"/>
      <c r="E54" s="3"/>
      <c r="F54" s="1"/>
      <c r="G54" s="1"/>
      <c r="H54" s="1"/>
      <c r="I54" s="1"/>
      <c r="J54" s="1"/>
      <c r="K54" s="1"/>
      <c r="L54" s="1"/>
      <c r="M54" s="1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</row>
    <row r="55" spans="1:70" ht="12.75" customHeight="1"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</row>
    <row r="56" spans="1:70"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</row>
    <row r="57" spans="1:70"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</row>
    <row r="58" spans="1:70"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</row>
    <row r="59" spans="1:70"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</row>
    <row r="60" spans="1:70"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</row>
    <row r="61" spans="1:70"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</row>
    <row r="62" spans="1:70"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</row>
    <row r="63" spans="1:70"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</row>
    <row r="64" spans="1:70"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</row>
    <row r="65" spans="35:70"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</row>
    <row r="66" spans="35:70"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</row>
    <row r="67" spans="35:70"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</row>
    <row r="68" spans="35:70"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</row>
    <row r="69" spans="35:70"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</row>
    <row r="70" spans="35:70"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</row>
    <row r="71" spans="35:70"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</row>
    <row r="72" spans="35:70"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</row>
    <row r="73" spans="35:70"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</row>
    <row r="74" spans="35:70"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</row>
    <row r="75" spans="35:70"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</row>
    <row r="76" spans="35:70"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</row>
    <row r="77" spans="35:70"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</row>
    <row r="78" spans="35:70"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</row>
    <row r="79" spans="35:70"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</row>
    <row r="80" spans="35:70"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</row>
    <row r="81" spans="35:70"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</row>
    <row r="82" spans="35:70"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</row>
    <row r="83" spans="35:70"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</row>
    <row r="84" spans="35:70"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</row>
    <row r="85" spans="35:70"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</row>
    <row r="86" spans="35:70"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</row>
    <row r="87" spans="35:70"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</row>
    <row r="88" spans="35:70"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</row>
    <row r="89" spans="35:70"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</row>
    <row r="90" spans="35:70"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</row>
    <row r="91" spans="35:70"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</row>
    <row r="92" spans="35:70"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</row>
    <row r="93" spans="35:70"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</row>
    <row r="94" spans="35:70"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</row>
    <row r="95" spans="35:70"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</row>
    <row r="96" spans="35:70"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</row>
    <row r="97" spans="35:70"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</row>
    <row r="98" spans="35:70"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</row>
    <row r="99" spans="35:70"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</row>
    <row r="100" spans="35:70"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</row>
    <row r="101" spans="35:70"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</row>
    <row r="102" spans="35:70"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</row>
    <row r="103" spans="35:70"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</row>
    <row r="104" spans="35:70"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</row>
    <row r="105" spans="35:70"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</row>
    <row r="106" spans="35:70"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</row>
    <row r="107" spans="35:70"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</row>
    <row r="108" spans="35:70"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</row>
    <row r="109" spans="35:70"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</row>
    <row r="110" spans="35:70"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</row>
    <row r="111" spans="35:70"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</row>
    <row r="112" spans="35:70"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</row>
    <row r="113" spans="35:70"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</row>
    <row r="114" spans="35:70"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</row>
    <row r="115" spans="35:70"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</row>
    <row r="116" spans="35:70"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</row>
    <row r="117" spans="35:70"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</row>
    <row r="118" spans="35:70"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</row>
    <row r="119" spans="35:70"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</row>
    <row r="120" spans="35:70"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</row>
    <row r="121" spans="35:70"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</row>
    <row r="122" spans="35:70"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</row>
    <row r="123" spans="35:70"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</row>
    <row r="124" spans="35:70"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</row>
    <row r="125" spans="35:70"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</row>
    <row r="126" spans="35:70"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</row>
    <row r="127" spans="35:70"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</row>
    <row r="128" spans="35:70"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</row>
    <row r="129" spans="35:70"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</row>
    <row r="130" spans="35:70"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</row>
    <row r="131" spans="35:70"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</row>
    <row r="132" spans="35:70"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</row>
    <row r="133" spans="35:70"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</row>
    <row r="134" spans="35:70"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</row>
    <row r="135" spans="35:70"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</row>
    <row r="136" spans="35:70"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</row>
    <row r="137" spans="35:70"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</row>
    <row r="138" spans="35:70"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</row>
    <row r="139" spans="35:70"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</row>
    <row r="140" spans="35:70"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</row>
    <row r="141" spans="35:70"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</row>
    <row r="142" spans="35:70"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</row>
    <row r="143" spans="35:70"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</row>
    <row r="144" spans="35:70"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</row>
    <row r="145" spans="35:70"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</row>
    <row r="146" spans="35:70"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</row>
    <row r="147" spans="35:70"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</row>
    <row r="148" spans="35:70"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</row>
    <row r="149" spans="35:70"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</row>
    <row r="150" spans="35:70"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</row>
    <row r="151" spans="35:70"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</row>
    <row r="152" spans="35:70"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</row>
    <row r="153" spans="35:70"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</row>
    <row r="154" spans="35:70"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</row>
    <row r="155" spans="35:70"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</row>
    <row r="156" spans="35:70"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</row>
    <row r="157" spans="35:70"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</row>
    <row r="158" spans="35:70"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</row>
    <row r="159" spans="35:70"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</row>
    <row r="160" spans="35:70"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</row>
    <row r="161" spans="35:70"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</row>
    <row r="162" spans="35:70"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</row>
    <row r="163" spans="35:70"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</row>
    <row r="164" spans="35:70"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</row>
    <row r="165" spans="35:70"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</row>
    <row r="166" spans="35:70"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</row>
    <row r="167" spans="35:70"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</row>
    <row r="168" spans="35:70"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</row>
    <row r="169" spans="35:70"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</row>
    <row r="170" spans="35:70"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</row>
    <row r="171" spans="35:70"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</row>
    <row r="172" spans="35:70"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</row>
    <row r="173" spans="35:70"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</row>
    <row r="174" spans="35:70"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</row>
    <row r="175" spans="35:70"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</row>
    <row r="176" spans="35:70"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</row>
  </sheetData>
  <mergeCells count="59">
    <mergeCell ref="L12:M14"/>
    <mergeCell ref="D15:E18"/>
    <mergeCell ref="A1:B4"/>
    <mergeCell ref="C1:I4"/>
    <mergeCell ref="J1:M4"/>
    <mergeCell ref="C6:I6"/>
    <mergeCell ref="D11:E14"/>
    <mergeCell ref="F11:F14"/>
    <mergeCell ref="G11:G14"/>
    <mergeCell ref="H11:I14"/>
    <mergeCell ref="J11:M11"/>
    <mergeCell ref="J12:K14"/>
    <mergeCell ref="F15:F18"/>
    <mergeCell ref="G15:G18"/>
    <mergeCell ref="H15:I18"/>
    <mergeCell ref="J15:K18"/>
    <mergeCell ref="L15:M18"/>
    <mergeCell ref="D19:E22"/>
    <mergeCell ref="F19:F22"/>
    <mergeCell ref="G19:G22"/>
    <mergeCell ref="H19:I22"/>
    <mergeCell ref="J19:K22"/>
    <mergeCell ref="L19:M22"/>
    <mergeCell ref="L27:M30"/>
    <mergeCell ref="D23:E26"/>
    <mergeCell ref="F23:F26"/>
    <mergeCell ref="G23:G26"/>
    <mergeCell ref="H23:I26"/>
    <mergeCell ref="J23:K26"/>
    <mergeCell ref="L23:M26"/>
    <mergeCell ref="D27:E30"/>
    <mergeCell ref="F27:F30"/>
    <mergeCell ref="G27:G30"/>
    <mergeCell ref="H27:I30"/>
    <mergeCell ref="J27:K30"/>
    <mergeCell ref="L35:M38"/>
    <mergeCell ref="D31:E34"/>
    <mergeCell ref="F31:F34"/>
    <mergeCell ref="G31:G34"/>
    <mergeCell ref="H31:I34"/>
    <mergeCell ref="J31:K34"/>
    <mergeCell ref="L31:M34"/>
    <mergeCell ref="D35:E38"/>
    <mergeCell ref="F35:F38"/>
    <mergeCell ref="G35:G38"/>
    <mergeCell ref="H35:I38"/>
    <mergeCell ref="J35:K38"/>
    <mergeCell ref="L39:M42"/>
    <mergeCell ref="F44:F47"/>
    <mergeCell ref="G44:G47"/>
    <mergeCell ref="H44:I47"/>
    <mergeCell ref="D39:E42"/>
    <mergeCell ref="F39:F42"/>
    <mergeCell ref="G39:G42"/>
    <mergeCell ref="H39:I42"/>
    <mergeCell ref="J39:K42"/>
    <mergeCell ref="J44:K47"/>
    <mergeCell ref="L44:M47"/>
    <mergeCell ref="D43:E47"/>
  </mergeCells>
  <conditionalFormatting sqref="D15:E42 D43">
    <cfRule type="cellIs" dxfId="20" priority="1" operator="greaterThan">
      <formula>"0.5"</formula>
    </cfRule>
    <cfRule type="cellIs" dxfId="19" priority="2" operator="between">
      <formula>"0.1"</formula>
      <formula>"0.5"</formula>
    </cfRule>
    <cfRule type="cellIs" dxfId="18" priority="3" operator="equal">
      <formula>0</formula>
    </cfRule>
  </conditionalFormatting>
  <printOptions horizontalCentered="1" verticalCentered="1"/>
  <pageMargins left="0.27559055118110237" right="0.19685039370078741" top="0.43307086614173229" bottom="0.43307086614173229" header="0.31496062992125984" footer="0.39370078740157483"/>
  <pageSetup paperSize="9" orientation="portrait" horizontalDpi="1200" verticalDpi="1200" r:id="rId1"/>
  <headerFooter alignWithMargins="0">
    <oddHeader>&amp;LPI 3010 Enclosure 1(a) / 09.24</oddHeader>
    <oddFooter xml:space="preserve"><![CDATA[&L_x000D_&1#&"Arial"&10&K000000 [Internal]&R&",Standard"&7    ]]></odd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911FD5-96C4-482F-833F-EE0B12652A6A}">
  <sheetPr>
    <pageSetUpPr fitToPage="1"/>
  </sheetPr>
  <dimension ref="A1:BR175"/>
  <sheetViews>
    <sheetView showGridLines="0" topLeftCell="A19" zoomScale="145" zoomScaleNormal="145" zoomScaleSheetLayoutView="115" zoomScalePageLayoutView="85" workbookViewId="0">
      <selection activeCell="P42" sqref="P42"/>
    </sheetView>
  </sheetViews>
  <sheetFormatPr baseColWidth="10" defaultColWidth="11.44140625" defaultRowHeight="12.6"/>
  <cols>
    <col min="1" max="1" customWidth="true" style="2" width="13.33203125"/>
    <col min="2" max="2" customWidth="true" style="2" width="11.5546875"/>
    <col min="3" max="3" customWidth="true" style="2" width="6.33203125"/>
    <col min="4" max="4" customWidth="true" style="4" width="5.5546875"/>
    <col min="5" max="5" customWidth="true" style="4" width="5.6640625"/>
    <col min="6" max="7" customWidth="true" style="2" width="10.6640625"/>
    <col min="8" max="13" customWidth="true" style="2" width="5.5546875"/>
    <col min="14" max="16384" style="2" width="11.44140625"/>
  </cols>
  <sheetData>
    <row r="1" spans="1:70" ht="7.95" customHeight="1">
      <c r="A1" s="325"/>
      <c r="B1" s="326"/>
      <c r="C1" s="331" t="s">
        <v>144</v>
      </c>
      <c r="D1" s="332"/>
      <c r="E1" s="332"/>
      <c r="F1" s="332"/>
      <c r="G1" s="332"/>
      <c r="H1" s="332"/>
      <c r="I1" s="333"/>
      <c r="J1" s="340" t="s">
        <v>208</v>
      </c>
      <c r="K1" s="341"/>
      <c r="L1" s="341"/>
      <c r="M1" s="34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</row>
    <row r="2" spans="1:70" s="30" customFormat="1" ht="15" customHeight="1">
      <c r="A2" s="327"/>
      <c r="B2" s="328"/>
      <c r="C2" s="334"/>
      <c r="D2" s="335"/>
      <c r="E2" s="335"/>
      <c r="F2" s="335"/>
      <c r="G2" s="335"/>
      <c r="H2" s="335"/>
      <c r="I2" s="336"/>
      <c r="J2" s="343"/>
      <c r="K2" s="344"/>
      <c r="L2" s="344"/>
      <c r="M2" s="345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</row>
    <row r="3" spans="1:70" s="30" customFormat="1" ht="17.100000000000001" customHeight="1">
      <c r="A3" s="327"/>
      <c r="B3" s="328"/>
      <c r="C3" s="334"/>
      <c r="D3" s="335"/>
      <c r="E3" s="335"/>
      <c r="F3" s="335"/>
      <c r="G3" s="335"/>
      <c r="H3" s="335"/>
      <c r="I3" s="336"/>
      <c r="J3" s="343"/>
      <c r="K3" s="344"/>
      <c r="L3" s="344"/>
      <c r="M3" s="345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</row>
    <row r="4" spans="1:70" s="30" customFormat="1" ht="14.1" customHeight="1" thickBot="1">
      <c r="A4" s="329"/>
      <c r="B4" s="330"/>
      <c r="C4" s="337"/>
      <c r="D4" s="338"/>
      <c r="E4" s="338"/>
      <c r="F4" s="338"/>
      <c r="G4" s="338"/>
      <c r="H4" s="338"/>
      <c r="I4" s="339"/>
      <c r="J4" s="346"/>
      <c r="K4" s="347"/>
      <c r="L4" s="347"/>
      <c r="M4" s="348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</row>
    <row r="5" spans="1:70" ht="6.75" customHeight="1">
      <c r="A5" s="20"/>
      <c r="B5" s="5"/>
      <c r="C5" s="5"/>
      <c r="D5" s="6"/>
      <c r="E5" s="6"/>
      <c r="F5" s="5"/>
      <c r="G5" s="5"/>
      <c r="H5" s="5"/>
      <c r="I5" s="5"/>
      <c r="J5" s="5"/>
      <c r="K5" s="5"/>
      <c r="L5" s="5"/>
      <c r="M5" s="17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</row>
    <row r="6" spans="1:70" ht="17.399999999999999">
      <c r="A6" s="21"/>
      <c r="B6" s="13"/>
      <c r="C6" s="349" t="s">
        <v>145</v>
      </c>
      <c r="D6" s="349"/>
      <c r="E6" s="349"/>
      <c r="F6" s="349"/>
      <c r="G6" s="349"/>
      <c r="H6" s="349"/>
      <c r="I6" s="349"/>
      <c r="J6" s="258"/>
      <c r="L6" s="13"/>
      <c r="M6" s="18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</row>
    <row r="7" spans="1:70" ht="6" customHeight="1">
      <c r="A7" s="16"/>
      <c r="B7" s="7"/>
      <c r="C7" s="7"/>
      <c r="D7" s="8"/>
      <c r="E7" s="9"/>
      <c r="F7" s="10"/>
      <c r="G7" s="7"/>
      <c r="H7" s="7"/>
      <c r="I7" s="7"/>
      <c r="J7" s="7"/>
      <c r="K7" s="7"/>
      <c r="L7" s="7"/>
      <c r="M7" s="19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</row>
    <row r="8" spans="1:70" ht="12.75" customHeight="1">
      <c r="A8" s="20" t="s">
        <v>146</v>
      </c>
      <c r="B8" s="259"/>
      <c r="C8" s="10"/>
      <c r="D8" s="14"/>
      <c r="F8" s="15" t="s">
        <v>147</v>
      </c>
      <c r="G8" s="5"/>
      <c r="H8" s="5"/>
      <c r="I8" s="5"/>
      <c r="J8" s="10"/>
      <c r="K8" s="11"/>
      <c r="L8" s="12"/>
      <c r="M8" s="17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</row>
    <row r="9" spans="1:70" ht="12.75" customHeight="1">
      <c r="A9" s="21"/>
      <c r="B9" s="259"/>
      <c r="C9" s="10"/>
      <c r="D9" s="14"/>
      <c r="F9" s="15"/>
      <c r="G9" s="5"/>
      <c r="H9" s="5"/>
      <c r="I9" s="5"/>
      <c r="J9" s="10"/>
      <c r="K9" s="11"/>
      <c r="L9" s="12"/>
      <c r="M9" s="17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</row>
    <row r="10" spans="1:70" ht="6.75" customHeight="1" thickBot="1">
      <c r="A10" s="16"/>
      <c r="B10" s="5"/>
      <c r="C10" s="5"/>
      <c r="D10" s="6"/>
      <c r="E10" s="6"/>
      <c r="F10" s="12"/>
      <c r="G10" s="5"/>
      <c r="H10" s="5"/>
      <c r="I10" s="5"/>
      <c r="J10" s="5"/>
      <c r="K10" s="5"/>
      <c r="L10" s="5"/>
      <c r="M10" s="17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</row>
    <row r="11" spans="1:70" ht="12.75" customHeight="1" thickBot="1">
      <c r="A11" s="235" t="s">
        <v>148</v>
      </c>
      <c r="B11" s="236"/>
      <c r="C11" s="237"/>
      <c r="D11" s="350" t="s">
        <v>149</v>
      </c>
      <c r="E11" s="351"/>
      <c r="F11" s="356" t="s">
        <v>150</v>
      </c>
      <c r="G11" s="356" t="s">
        <v>151</v>
      </c>
      <c r="H11" s="359" t="s">
        <v>152</v>
      </c>
      <c r="I11" s="360"/>
      <c r="J11" s="365" t="s">
        <v>153</v>
      </c>
      <c r="K11" s="366"/>
      <c r="L11" s="366"/>
      <c r="M11" s="367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</row>
    <row r="12" spans="1:70" ht="12.75" customHeight="1">
      <c r="A12" s="238" t="s">
        <v>154</v>
      </c>
      <c r="B12" s="239"/>
      <c r="C12" s="240"/>
      <c r="D12" s="352"/>
      <c r="E12" s="353"/>
      <c r="F12" s="357"/>
      <c r="G12" s="357"/>
      <c r="H12" s="361"/>
      <c r="I12" s="362"/>
      <c r="J12" s="359" t="s">
        <v>155</v>
      </c>
      <c r="K12" s="360"/>
      <c r="L12" s="320" t="s">
        <v>156</v>
      </c>
      <c r="M12" s="321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</row>
    <row r="13" spans="1:70" ht="12.75" customHeight="1">
      <c r="A13" s="238" t="s">
        <v>157</v>
      </c>
      <c r="B13" s="239"/>
      <c r="C13" s="240"/>
      <c r="D13" s="352"/>
      <c r="E13" s="353"/>
      <c r="F13" s="357"/>
      <c r="G13" s="357"/>
      <c r="H13" s="361"/>
      <c r="I13" s="362"/>
      <c r="J13" s="368"/>
      <c r="K13" s="369"/>
      <c r="L13" s="322"/>
      <c r="M13" s="323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</row>
    <row r="14" spans="1:70" ht="12.75" customHeight="1">
      <c r="A14" s="241" t="s">
        <v>158</v>
      </c>
      <c r="B14" s="242"/>
      <c r="C14" s="243"/>
      <c r="D14" s="354"/>
      <c r="E14" s="355"/>
      <c r="F14" s="358"/>
      <c r="G14" s="358"/>
      <c r="H14" s="363"/>
      <c r="I14" s="364"/>
      <c r="J14" s="361"/>
      <c r="K14" s="369"/>
      <c r="L14" s="324"/>
      <c r="M14" s="323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</row>
    <row r="15" spans="1:70" ht="12.75" customHeight="1">
      <c r="A15" s="244"/>
      <c r="B15" s="245"/>
      <c r="C15" s="246"/>
      <c r="D15" s="308">
        <v>0</v>
      </c>
      <c r="E15" s="309"/>
      <c r="F15" s="316"/>
      <c r="G15" s="315"/>
      <c r="H15" s="308"/>
      <c r="I15" s="302"/>
      <c r="J15" s="301" t="s">
        <v>20</v>
      </c>
      <c r="K15" s="312"/>
      <c r="L15" s="290"/>
      <c r="M15" s="291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</row>
    <row r="16" spans="1:70" ht="12.75" customHeight="1">
      <c r="A16" s="247"/>
      <c r="B16" s="248"/>
      <c r="C16" s="249"/>
      <c r="D16" s="310"/>
      <c r="E16" s="311"/>
      <c r="F16" s="317"/>
      <c r="G16" s="298"/>
      <c r="H16" s="303"/>
      <c r="I16" s="304"/>
      <c r="J16" s="303"/>
      <c r="K16" s="313"/>
      <c r="L16" s="292"/>
      <c r="M16" s="293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</row>
    <row r="17" spans="1:70" ht="12.75" customHeight="1">
      <c r="A17" s="247"/>
      <c r="B17" s="248"/>
      <c r="C17" s="249"/>
      <c r="D17" s="305"/>
      <c r="E17" s="304"/>
      <c r="F17" s="318"/>
      <c r="G17" s="299"/>
      <c r="H17" s="305"/>
      <c r="I17" s="304"/>
      <c r="J17" s="305"/>
      <c r="K17" s="313"/>
      <c r="L17" s="294"/>
      <c r="M17" s="293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</row>
    <row r="18" spans="1:70" ht="12.75" customHeight="1">
      <c r="A18" s="250"/>
      <c r="B18" s="251"/>
      <c r="C18" s="252"/>
      <c r="D18" s="306"/>
      <c r="E18" s="307"/>
      <c r="F18" s="319"/>
      <c r="G18" s="300"/>
      <c r="H18" s="306"/>
      <c r="I18" s="307"/>
      <c r="J18" s="306"/>
      <c r="K18" s="314"/>
      <c r="L18" s="295"/>
      <c r="M18" s="296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</row>
    <row r="19" spans="1:70" ht="12.75" customHeight="1">
      <c r="A19" s="244"/>
      <c r="B19" s="245"/>
      <c r="C19" s="246"/>
      <c r="D19" s="308">
        <v>0</v>
      </c>
      <c r="E19" s="309"/>
      <c r="F19" s="316"/>
      <c r="G19" s="315"/>
      <c r="H19" s="301"/>
      <c r="I19" s="302"/>
      <c r="J19" s="301" t="s">
        <v>20</v>
      </c>
      <c r="K19" s="312"/>
      <c r="L19" s="290"/>
      <c r="M19" s="291"/>
      <c r="P19" s="229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</row>
    <row r="20" spans="1:70" ht="12.75" customHeight="1">
      <c r="A20" s="247"/>
      <c r="B20" s="248"/>
      <c r="C20" s="249"/>
      <c r="D20" s="310"/>
      <c r="E20" s="311"/>
      <c r="F20" s="317"/>
      <c r="G20" s="298"/>
      <c r="H20" s="303"/>
      <c r="I20" s="304"/>
      <c r="J20" s="303"/>
      <c r="K20" s="313"/>
      <c r="L20" s="292"/>
      <c r="M20" s="293"/>
      <c r="P20" s="229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</row>
    <row r="21" spans="1:70" customFormat="1" ht="12.75" customHeight="1">
      <c r="A21" s="247"/>
      <c r="B21" s="248"/>
      <c r="C21" s="249"/>
      <c r="D21" s="305"/>
      <c r="E21" s="304"/>
      <c r="F21" s="318"/>
      <c r="G21" s="299"/>
      <c r="H21" s="305"/>
      <c r="I21" s="304"/>
      <c r="J21" s="305"/>
      <c r="K21" s="313"/>
      <c r="L21" s="294"/>
      <c r="M21" s="293"/>
    </row>
    <row r="22" spans="1:70" customFormat="1" ht="12.75" customHeight="1">
      <c r="A22" s="250"/>
      <c r="B22" s="251"/>
      <c r="C22" s="252"/>
      <c r="D22" s="306"/>
      <c r="E22" s="307"/>
      <c r="F22" s="319"/>
      <c r="G22" s="300"/>
      <c r="H22" s="306"/>
      <c r="I22" s="307"/>
      <c r="J22" s="306"/>
      <c r="K22" s="314"/>
      <c r="L22" s="295"/>
      <c r="M22" s="296"/>
    </row>
    <row r="23" spans="1:70" ht="12.75" customHeight="1">
      <c r="A23" s="244"/>
      <c r="B23" s="245"/>
      <c r="C23" s="246"/>
      <c r="D23" s="308">
        <v>0</v>
      </c>
      <c r="E23" s="309"/>
      <c r="F23" s="315"/>
      <c r="G23" s="297"/>
      <c r="H23" s="301"/>
      <c r="I23" s="302"/>
      <c r="J23" s="301" t="s">
        <v>20</v>
      </c>
      <c r="K23" s="312"/>
      <c r="L23" s="290"/>
      <c r="M23" s="291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</row>
    <row r="24" spans="1:70" ht="12.75" customHeight="1">
      <c r="A24" s="247"/>
      <c r="B24" s="248"/>
      <c r="C24" s="249"/>
      <c r="D24" s="310"/>
      <c r="E24" s="311"/>
      <c r="F24" s="298"/>
      <c r="G24" s="298"/>
      <c r="H24" s="303"/>
      <c r="I24" s="304"/>
      <c r="J24" s="303"/>
      <c r="K24" s="313"/>
      <c r="L24" s="292"/>
      <c r="M24" s="293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</row>
    <row r="25" spans="1:70" ht="12.75" customHeight="1">
      <c r="A25" s="247"/>
      <c r="B25" s="248"/>
      <c r="C25" s="249"/>
      <c r="D25" s="305"/>
      <c r="E25" s="304"/>
      <c r="F25" s="299"/>
      <c r="G25" s="299"/>
      <c r="H25" s="305"/>
      <c r="I25" s="304"/>
      <c r="J25" s="305"/>
      <c r="K25" s="313"/>
      <c r="L25" s="294"/>
      <c r="M25" s="293"/>
      <c r="P25" s="229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</row>
    <row r="26" spans="1:70" ht="12.75" customHeight="1">
      <c r="A26" s="250"/>
      <c r="B26" s="251"/>
      <c r="C26" s="252"/>
      <c r="D26" s="306"/>
      <c r="E26" s="307"/>
      <c r="F26" s="300"/>
      <c r="G26" s="300"/>
      <c r="H26" s="306"/>
      <c r="I26" s="307"/>
      <c r="J26" s="306"/>
      <c r="K26" s="314"/>
      <c r="L26" s="295"/>
      <c r="M26" s="296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</row>
    <row r="27" spans="1:70" ht="12.75" customHeight="1">
      <c r="A27" s="244"/>
      <c r="B27" s="245"/>
      <c r="C27" s="246"/>
      <c r="D27" s="308">
        <v>0</v>
      </c>
      <c r="E27" s="309"/>
      <c r="F27" s="297"/>
      <c r="G27" s="297"/>
      <c r="H27" s="301"/>
      <c r="I27" s="302"/>
      <c r="J27" s="301" t="s">
        <v>20</v>
      </c>
      <c r="K27" s="312"/>
      <c r="L27" s="290"/>
      <c r="M27" s="291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</row>
    <row r="28" spans="1:70" ht="12.75" customHeight="1">
      <c r="A28" s="247"/>
      <c r="B28" s="248"/>
      <c r="C28" s="249"/>
      <c r="D28" s="310"/>
      <c r="E28" s="311"/>
      <c r="F28" s="298"/>
      <c r="G28" s="298"/>
      <c r="H28" s="303"/>
      <c r="I28" s="304"/>
      <c r="J28" s="303"/>
      <c r="K28" s="313"/>
      <c r="L28" s="292"/>
      <c r="M28" s="293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</row>
    <row r="29" spans="1:70" ht="12.75" customHeight="1">
      <c r="A29" s="247"/>
      <c r="B29" s="248"/>
      <c r="C29" s="249"/>
      <c r="D29" s="305"/>
      <c r="E29" s="304"/>
      <c r="F29" s="299"/>
      <c r="G29" s="299"/>
      <c r="H29" s="305"/>
      <c r="I29" s="304"/>
      <c r="J29" s="305"/>
      <c r="K29" s="313"/>
      <c r="L29" s="294"/>
      <c r="M29" s="293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</row>
    <row r="30" spans="1:70" ht="12.75" customHeight="1">
      <c r="A30" s="250"/>
      <c r="B30" s="251"/>
      <c r="C30" s="252"/>
      <c r="D30" s="306"/>
      <c r="E30" s="307"/>
      <c r="F30" s="300"/>
      <c r="G30" s="300"/>
      <c r="H30" s="306"/>
      <c r="I30" s="307"/>
      <c r="J30" s="306"/>
      <c r="K30" s="314"/>
      <c r="L30" s="295"/>
      <c r="M30" s="296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</row>
    <row r="31" spans="1:70" ht="12.75" customHeight="1">
      <c r="A31" s="244"/>
      <c r="B31" s="245"/>
      <c r="C31" s="246"/>
      <c r="D31" s="308">
        <v>0</v>
      </c>
      <c r="E31" s="309"/>
      <c r="F31" s="297"/>
      <c r="G31" s="297"/>
      <c r="H31" s="301"/>
      <c r="I31" s="302"/>
      <c r="J31" s="301" t="s">
        <v>20</v>
      </c>
      <c r="K31" s="312"/>
      <c r="L31" s="290"/>
      <c r="M31" s="291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</row>
    <row r="32" spans="1:70" ht="12.75" customHeight="1">
      <c r="A32" s="247"/>
      <c r="B32" s="248"/>
      <c r="C32" s="249"/>
      <c r="D32" s="310"/>
      <c r="E32" s="311"/>
      <c r="F32" s="298"/>
      <c r="G32" s="298"/>
      <c r="H32" s="303"/>
      <c r="I32" s="304"/>
      <c r="J32" s="303"/>
      <c r="K32" s="313"/>
      <c r="L32" s="292"/>
      <c r="M32" s="293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</row>
    <row r="33" spans="1:70" customFormat="1" ht="12.75" customHeight="1">
      <c r="A33" s="247"/>
      <c r="B33" s="248"/>
      <c r="C33" s="249"/>
      <c r="D33" s="305"/>
      <c r="E33" s="304"/>
      <c r="F33" s="299"/>
      <c r="G33" s="299"/>
      <c r="H33" s="305"/>
      <c r="I33" s="304"/>
      <c r="J33" s="305"/>
      <c r="K33" s="313"/>
      <c r="L33" s="294"/>
      <c r="M33" s="293"/>
    </row>
    <row r="34" spans="1:70" customFormat="1" ht="12.75" customHeight="1">
      <c r="A34" s="250"/>
      <c r="B34" s="251"/>
      <c r="C34" s="252"/>
      <c r="D34" s="306"/>
      <c r="E34" s="307"/>
      <c r="F34" s="300"/>
      <c r="G34" s="300"/>
      <c r="H34" s="306"/>
      <c r="I34" s="307"/>
      <c r="J34" s="306"/>
      <c r="K34" s="314"/>
      <c r="L34" s="295"/>
      <c r="M34" s="296"/>
    </row>
    <row r="35" spans="1:70" ht="12.75" customHeight="1">
      <c r="A35" s="244"/>
      <c r="B35" s="245"/>
      <c r="C35" s="246"/>
      <c r="D35" s="308">
        <v>0</v>
      </c>
      <c r="E35" s="309"/>
      <c r="F35" s="297"/>
      <c r="G35" s="297"/>
      <c r="H35" s="301"/>
      <c r="I35" s="302"/>
      <c r="J35" s="301" t="s">
        <v>20</v>
      </c>
      <c r="K35" s="312"/>
      <c r="L35" s="290"/>
      <c r="M35" s="291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</row>
    <row r="36" spans="1:70" ht="12.75" customHeight="1">
      <c r="A36" s="247"/>
      <c r="B36" s="248"/>
      <c r="C36" s="249"/>
      <c r="D36" s="310"/>
      <c r="E36" s="311"/>
      <c r="F36" s="298"/>
      <c r="G36" s="298"/>
      <c r="H36" s="303"/>
      <c r="I36" s="304"/>
      <c r="J36" s="303"/>
      <c r="K36" s="313"/>
      <c r="L36" s="292"/>
      <c r="M36" s="293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</row>
    <row r="37" spans="1:70" ht="12.75" customHeight="1">
      <c r="A37" s="247"/>
      <c r="B37" s="248"/>
      <c r="C37" s="249"/>
      <c r="D37" s="305"/>
      <c r="E37" s="304"/>
      <c r="F37" s="299"/>
      <c r="G37" s="299"/>
      <c r="H37" s="305"/>
      <c r="I37" s="304"/>
      <c r="J37" s="305"/>
      <c r="K37" s="313"/>
      <c r="L37" s="294"/>
      <c r="M37" s="293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</row>
    <row r="38" spans="1:70" ht="12.75" customHeight="1">
      <c r="A38" s="250"/>
      <c r="B38" s="251"/>
      <c r="C38" s="252"/>
      <c r="D38" s="306"/>
      <c r="E38" s="307"/>
      <c r="F38" s="300"/>
      <c r="G38" s="300"/>
      <c r="H38" s="306"/>
      <c r="I38" s="307"/>
      <c r="J38" s="306"/>
      <c r="K38" s="314"/>
      <c r="L38" s="295"/>
      <c r="M38" s="296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</row>
    <row r="39" spans="1:70" ht="12.75" customHeight="1">
      <c r="A39" s="244"/>
      <c r="B39" s="245"/>
      <c r="C39" s="246"/>
      <c r="D39" s="308">
        <v>0</v>
      </c>
      <c r="E39" s="309"/>
      <c r="F39" s="297"/>
      <c r="G39" s="297"/>
      <c r="H39" s="301"/>
      <c r="I39" s="302"/>
      <c r="J39" s="301" t="s">
        <v>20</v>
      </c>
      <c r="K39" s="312"/>
      <c r="L39" s="290"/>
      <c r="M39" s="291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</row>
    <row r="40" spans="1:70" ht="12.75" customHeight="1">
      <c r="A40" s="247"/>
      <c r="B40" s="248"/>
      <c r="C40" s="249"/>
      <c r="D40" s="310"/>
      <c r="E40" s="311"/>
      <c r="F40" s="298"/>
      <c r="G40" s="298"/>
      <c r="H40" s="303"/>
      <c r="I40" s="304"/>
      <c r="J40" s="303"/>
      <c r="K40" s="313"/>
      <c r="L40" s="292"/>
      <c r="M40" s="293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</row>
    <row r="41" spans="1:70" ht="12.75" customHeight="1">
      <c r="A41" s="247"/>
      <c r="B41" s="248"/>
      <c r="C41" s="249"/>
      <c r="D41" s="305"/>
      <c r="E41" s="304"/>
      <c r="F41" s="299"/>
      <c r="G41" s="299"/>
      <c r="H41" s="305"/>
      <c r="I41" s="304"/>
      <c r="J41" s="305"/>
      <c r="K41" s="313"/>
      <c r="L41" s="294"/>
      <c r="M41" s="293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</row>
    <row r="42" spans="1:70" ht="12.75" customHeight="1">
      <c r="A42" s="250"/>
      <c r="B42" s="251"/>
      <c r="C42" s="252"/>
      <c r="D42" s="306"/>
      <c r="E42" s="307"/>
      <c r="F42" s="300"/>
      <c r="G42" s="300"/>
      <c r="H42" s="306"/>
      <c r="I42" s="307"/>
      <c r="J42" s="306"/>
      <c r="K42" s="314"/>
      <c r="L42" s="295"/>
      <c r="M42" s="296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</row>
    <row r="43" spans="1:70" ht="12.75" customHeight="1">
      <c r="A43" s="244"/>
      <c r="B43" s="245"/>
      <c r="C43" s="246"/>
      <c r="D43" s="468">
        <v>0</v>
      </c>
      <c r="E43" s="468"/>
      <c r="F43" s="297"/>
      <c r="G43" s="297"/>
      <c r="H43" s="301"/>
      <c r="I43" s="302"/>
      <c r="J43" s="301" t="s">
        <v>20</v>
      </c>
      <c r="K43" s="312"/>
      <c r="L43" s="290"/>
      <c r="M43" s="291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</row>
    <row r="44" spans="1:70" ht="12.75" customHeight="1">
      <c r="A44" s="244"/>
      <c r="B44" s="245"/>
      <c r="C44" s="246"/>
      <c r="D44" s="469"/>
      <c r="E44" s="469"/>
      <c r="F44" s="298"/>
      <c r="G44" s="298"/>
      <c r="H44" s="303"/>
      <c r="I44" s="304"/>
      <c r="J44" s="303"/>
      <c r="K44" s="313"/>
      <c r="L44" s="292"/>
      <c r="M44" s="293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</row>
    <row r="45" spans="1:70" ht="12.75" customHeight="1">
      <c r="A45" s="247"/>
      <c r="B45" s="248"/>
      <c r="C45" s="249"/>
      <c r="D45" s="469"/>
      <c r="E45" s="469"/>
      <c r="F45" s="299"/>
      <c r="G45" s="299"/>
      <c r="H45" s="305"/>
      <c r="I45" s="304"/>
      <c r="J45" s="305"/>
      <c r="K45" s="313"/>
      <c r="L45" s="294"/>
      <c r="M45" s="293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</row>
    <row r="46" spans="1:70" ht="12.75" customHeight="1">
      <c r="A46" s="247"/>
      <c r="B46" s="248"/>
      <c r="C46" s="249"/>
      <c r="D46" s="469"/>
      <c r="E46" s="469"/>
      <c r="F46" s="300"/>
      <c r="G46" s="300"/>
      <c r="H46" s="306"/>
      <c r="I46" s="307"/>
      <c r="J46" s="306"/>
      <c r="K46" s="314"/>
      <c r="L46" s="295"/>
      <c r="M46" s="296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</row>
    <row r="47" spans="1:70" ht="12.75" customHeight="1" thickBot="1">
      <c r="A47" s="250"/>
      <c r="B47" s="251"/>
      <c r="C47" s="252"/>
      <c r="D47" s="469"/>
      <c r="E47" s="469"/>
      <c r="F47" s="227"/>
      <c r="G47" s="253"/>
      <c r="H47" s="216"/>
      <c r="I47" s="217"/>
      <c r="J47" s="254"/>
      <c r="K47" s="254"/>
      <c r="L47" s="254"/>
      <c r="M47" s="24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</row>
    <row r="48" spans="1:70" ht="15" customHeight="1" thickBot="1">
      <c r="A48" s="23"/>
      <c r="B48" s="29" t="s">
        <v>160</v>
      </c>
      <c r="C48" s="2"/>
      <c r="D48" s="226">
        <f>MIN(D24:E46)</f>
        <v>0</v>
      </c>
      <c r="E48" s="228"/>
      <c r="F48" s="35" t="s">
        <v>161</v>
      </c>
      <c r="G48" s="288">
        <f>(SUM(G15:G46))*D48</f>
        <v>0</v>
      </c>
      <c r="H48" s="2"/>
      <c r="I48" s="2"/>
      <c r="J48" s="2"/>
      <c r="K48" s="2"/>
      <c r="L48" s="2"/>
      <c r="M48" s="225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</row>
    <row r="49" spans="1:70" ht="15" customHeight="1" thickBot="1">
      <c r="A49" s="23"/>
      <c r="B49" s="29" t="s">
        <v>162</v>
      </c>
      <c r="C49" s="2"/>
      <c r="D49" s="286">
        <f>AVERAGE(D24:E46)</f>
        <v>0</v>
      </c>
      <c r="E49" s="4"/>
      <c r="F49" s="2"/>
      <c r="G49" s="2"/>
      <c r="H49" s="33"/>
      <c r="I49" s="33"/>
      <c r="J49" s="2"/>
      <c r="K49" s="2"/>
      <c r="L49" s="2"/>
      <c r="M49" s="24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</row>
    <row r="50" spans="1:70" ht="15" customHeight="1" thickBot="1">
      <c r="A50" s="23"/>
      <c r="B50" s="29"/>
      <c r="C50" s="2"/>
      <c r="D50" s="226">
        <f>MAX(D24:E46)</f>
        <v>0</v>
      </c>
      <c r="E50" s="4"/>
      <c r="F50" s="35"/>
      <c r="G50" s="33"/>
      <c r="H50" s="33"/>
      <c r="I50" s="33"/>
      <c r="J50" s="2"/>
      <c r="K50" s="2"/>
      <c r="L50" s="2"/>
      <c r="M50" s="24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</row>
    <row r="51" spans="1:70" s="34" customFormat="1" ht="15" customHeight="1">
      <c r="A51" s="36" t="s">
        <v>163</v>
      </c>
      <c r="B51" s="37"/>
      <c r="C51" s="38" t="s">
        <v>164</v>
      </c>
      <c r="D51" s="32"/>
      <c r="E51" s="4"/>
      <c r="F51" s="28"/>
      <c r="G51" s="33"/>
      <c r="H51" s="33"/>
      <c r="I51" s="33"/>
      <c r="J51" s="2"/>
      <c r="K51" s="2"/>
      <c r="L51" s="2"/>
      <c r="M51" s="24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</row>
    <row r="52" spans="1:70" ht="14.4" customHeight="1" thickBot="1">
      <c r="A52" s="25"/>
      <c r="B52" s="26"/>
      <c r="C52" s="27"/>
      <c r="D52" s="223"/>
      <c r="E52" s="223"/>
      <c r="F52" s="223"/>
      <c r="G52" s="223"/>
      <c r="H52" s="223"/>
      <c r="I52" s="223"/>
      <c r="J52" s="223"/>
      <c r="K52" s="223"/>
      <c r="L52" s="223"/>
      <c r="M52" s="224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</row>
    <row r="53" spans="1:70" ht="4.5" customHeight="1">
      <c r="A53" s="1"/>
      <c r="B53" s="1"/>
      <c r="C53" s="1"/>
      <c r="D53" s="3"/>
      <c r="E53" s="3"/>
      <c r="F53" s="1"/>
      <c r="G53" s="1"/>
      <c r="H53" s="1"/>
      <c r="I53" s="1"/>
      <c r="J53" s="1"/>
      <c r="K53" s="1"/>
      <c r="L53" s="1"/>
      <c r="M53" s="1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</row>
    <row r="54" spans="1:70" ht="12.75" customHeight="1"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</row>
    <row r="55" spans="1:70"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</row>
    <row r="56" spans="1:70"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</row>
    <row r="57" spans="1:70"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</row>
    <row r="58" spans="1:70"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</row>
    <row r="59" spans="1:70"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</row>
    <row r="60" spans="1:70"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</row>
    <row r="61" spans="1:70"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</row>
    <row r="62" spans="1:70"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</row>
    <row r="63" spans="1:70"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</row>
    <row r="64" spans="1:70"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</row>
    <row r="65" spans="35:70"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</row>
    <row r="66" spans="35:70"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</row>
    <row r="67" spans="35:70"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</row>
    <row r="68" spans="35:70"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</row>
    <row r="69" spans="35:70"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</row>
    <row r="70" spans="35:70"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</row>
    <row r="71" spans="35:70"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</row>
    <row r="72" spans="35:70"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</row>
    <row r="73" spans="35:70"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</row>
    <row r="74" spans="35:70"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</row>
    <row r="75" spans="35:70"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</row>
    <row r="76" spans="35:70"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</row>
    <row r="77" spans="35:70"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</row>
    <row r="78" spans="35:70"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</row>
    <row r="79" spans="35:70"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</row>
    <row r="80" spans="35:70"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</row>
    <row r="81" spans="35:70"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</row>
    <row r="82" spans="35:70"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</row>
    <row r="83" spans="35:70"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</row>
    <row r="84" spans="35:70"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</row>
    <row r="85" spans="35:70"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</row>
    <row r="86" spans="35:70"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</row>
    <row r="87" spans="35:70"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</row>
    <row r="88" spans="35:70"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</row>
    <row r="89" spans="35:70"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</row>
    <row r="90" spans="35:70"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</row>
    <row r="91" spans="35:70"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</row>
    <row r="92" spans="35:70"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</row>
    <row r="93" spans="35:70"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</row>
    <row r="94" spans="35:70"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</row>
    <row r="95" spans="35:70"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</row>
    <row r="96" spans="35:70"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</row>
    <row r="97" spans="35:70"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</row>
    <row r="98" spans="35:70"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</row>
    <row r="99" spans="35:70"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</row>
    <row r="100" spans="35:70"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</row>
    <row r="101" spans="35:70"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</row>
    <row r="102" spans="35:70"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</row>
    <row r="103" spans="35:70"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</row>
    <row r="104" spans="35:70"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</row>
    <row r="105" spans="35:70"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</row>
    <row r="106" spans="35:70"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</row>
    <row r="107" spans="35:70"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</row>
    <row r="108" spans="35:70"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</row>
    <row r="109" spans="35:70"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</row>
    <row r="110" spans="35:70"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</row>
    <row r="111" spans="35:70"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</row>
    <row r="112" spans="35:70"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</row>
    <row r="113" spans="35:70"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</row>
    <row r="114" spans="35:70"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</row>
    <row r="115" spans="35:70"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</row>
    <row r="116" spans="35:70"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</row>
    <row r="117" spans="35:70"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</row>
    <row r="118" spans="35:70"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</row>
    <row r="119" spans="35:70"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</row>
    <row r="120" spans="35:70"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</row>
    <row r="121" spans="35:70"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</row>
    <row r="122" spans="35:70"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</row>
    <row r="123" spans="35:70"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</row>
    <row r="124" spans="35:70"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</row>
    <row r="125" spans="35:70"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</row>
    <row r="126" spans="35:70"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</row>
    <row r="127" spans="35:70"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</row>
    <row r="128" spans="35:70"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</row>
    <row r="129" spans="35:70"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</row>
    <row r="130" spans="35:70"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</row>
    <row r="131" spans="35:70"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</row>
    <row r="132" spans="35:70"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</row>
    <row r="133" spans="35:70"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</row>
    <row r="134" spans="35:70"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</row>
    <row r="135" spans="35:70"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</row>
    <row r="136" spans="35:70"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</row>
    <row r="137" spans="35:70"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</row>
    <row r="138" spans="35:70"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</row>
    <row r="139" spans="35:70"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</row>
    <row r="140" spans="35:70"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</row>
    <row r="141" spans="35:70"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</row>
    <row r="142" spans="35:70"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</row>
    <row r="143" spans="35:70"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</row>
    <row r="144" spans="35:70"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</row>
    <row r="145" spans="35:70"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</row>
    <row r="146" spans="35:70"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</row>
    <row r="147" spans="35:70"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</row>
    <row r="148" spans="35:70"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</row>
    <row r="149" spans="35:70"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</row>
    <row r="150" spans="35:70"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</row>
    <row r="151" spans="35:70"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</row>
    <row r="152" spans="35:70"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</row>
    <row r="153" spans="35:70"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</row>
    <row r="154" spans="35:70"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</row>
    <row r="155" spans="35:70"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</row>
    <row r="156" spans="35:70"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</row>
    <row r="157" spans="35:70"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</row>
    <row r="158" spans="35:70"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</row>
    <row r="159" spans="35:70"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</row>
    <row r="160" spans="35:70"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</row>
    <row r="161" spans="35:70"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</row>
    <row r="162" spans="35:70"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</row>
    <row r="163" spans="35:70"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</row>
    <row r="164" spans="35:70"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</row>
    <row r="165" spans="35:70"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</row>
    <row r="166" spans="35:70"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</row>
    <row r="167" spans="35:70"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</row>
    <row r="168" spans="35:70"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</row>
    <row r="169" spans="35:70"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</row>
    <row r="170" spans="35:70"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</row>
    <row r="171" spans="35:70"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</row>
    <row r="172" spans="35:70"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</row>
    <row r="173" spans="35:70"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</row>
    <row r="174" spans="35:70"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</row>
    <row r="175" spans="35:70"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</row>
  </sheetData>
  <mergeCells count="59">
    <mergeCell ref="A1:B4"/>
    <mergeCell ref="C1:I4"/>
    <mergeCell ref="J1:M4"/>
    <mergeCell ref="C6:I6"/>
    <mergeCell ref="D11:E14"/>
    <mergeCell ref="F11:F14"/>
    <mergeCell ref="G11:G14"/>
    <mergeCell ref="H11:I14"/>
    <mergeCell ref="J11:M11"/>
    <mergeCell ref="J12:K14"/>
    <mergeCell ref="L19:M22"/>
    <mergeCell ref="L12:M14"/>
    <mergeCell ref="D15:E18"/>
    <mergeCell ref="F15:F18"/>
    <mergeCell ref="G15:G18"/>
    <mergeCell ref="H15:I18"/>
    <mergeCell ref="J15:K18"/>
    <mergeCell ref="L15:M18"/>
    <mergeCell ref="D19:E22"/>
    <mergeCell ref="F19:F22"/>
    <mergeCell ref="G19:G22"/>
    <mergeCell ref="H19:I22"/>
    <mergeCell ref="J19:K22"/>
    <mergeCell ref="L27:M30"/>
    <mergeCell ref="D23:E26"/>
    <mergeCell ref="F23:F26"/>
    <mergeCell ref="G23:G26"/>
    <mergeCell ref="H23:I26"/>
    <mergeCell ref="J23:K26"/>
    <mergeCell ref="L23:M26"/>
    <mergeCell ref="D27:E30"/>
    <mergeCell ref="F27:F30"/>
    <mergeCell ref="G27:G30"/>
    <mergeCell ref="H27:I30"/>
    <mergeCell ref="J27:K30"/>
    <mergeCell ref="L35:M38"/>
    <mergeCell ref="D31:E34"/>
    <mergeCell ref="F31:F34"/>
    <mergeCell ref="G31:G34"/>
    <mergeCell ref="H31:I34"/>
    <mergeCell ref="J31:K34"/>
    <mergeCell ref="L31:M34"/>
    <mergeCell ref="D35:E38"/>
    <mergeCell ref="F35:F38"/>
    <mergeCell ref="G35:G38"/>
    <mergeCell ref="H35:I38"/>
    <mergeCell ref="J35:K38"/>
    <mergeCell ref="L43:M46"/>
    <mergeCell ref="D39:E42"/>
    <mergeCell ref="F39:F42"/>
    <mergeCell ref="G39:G42"/>
    <mergeCell ref="H39:I42"/>
    <mergeCell ref="J39:K42"/>
    <mergeCell ref="L39:M42"/>
    <mergeCell ref="F43:F46"/>
    <mergeCell ref="G43:G46"/>
    <mergeCell ref="H43:I46"/>
    <mergeCell ref="J43:K46"/>
    <mergeCell ref="D43:E47"/>
  </mergeCells>
  <conditionalFormatting sqref="D15:E42 D43">
    <cfRule type="cellIs" dxfId="17" priority="1" operator="greaterThan">
      <formula>"0.5"</formula>
    </cfRule>
    <cfRule type="cellIs" dxfId="16" priority="2" operator="between">
      <formula>"0.1"</formula>
      <formula>"0.5"</formula>
    </cfRule>
    <cfRule type="cellIs" dxfId="15" priority="3" operator="equal">
      <formula>0</formula>
    </cfRule>
  </conditionalFormatting>
  <printOptions horizontalCentered="1" verticalCentered="1"/>
  <pageMargins left="0.27559055118110237" right="0.19685039370078741" top="0.43307086614173229" bottom="0.43307086614173229" header="0.31496062992125984" footer="0.39370078740157483"/>
  <pageSetup paperSize="9" orientation="portrait" horizontalDpi="1200" verticalDpi="1200" r:id="rId1"/>
  <headerFooter alignWithMargins="0">
    <oddHeader>&amp;LPI 3010 Enclosure 1(a) / 09.24</oddHeader>
    <oddFooter xml:space="preserve"><![CDATA[&L_x000D_&1#&"Arial"&10&K000000 [Internal]&R&",Standard"&7    ]]></oddFoot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335342-E169-4B80-AE38-D8004C96BE56}">
  <sheetPr>
    <pageSetUpPr fitToPage="1"/>
  </sheetPr>
  <dimension ref="A1:BR175"/>
  <sheetViews>
    <sheetView showGridLines="0" topLeftCell="A19" zoomScale="145" zoomScaleNormal="145" zoomScaleSheetLayoutView="115" zoomScalePageLayoutView="85" workbookViewId="0">
      <selection activeCell="P42" sqref="P42"/>
    </sheetView>
  </sheetViews>
  <sheetFormatPr baseColWidth="10" defaultColWidth="11.44140625" defaultRowHeight="12.6"/>
  <cols>
    <col min="1" max="1" customWidth="true" style="2" width="13.33203125"/>
    <col min="2" max="2" customWidth="true" style="2" width="11.5546875"/>
    <col min="3" max="3" customWidth="true" style="2" width="6.33203125"/>
    <col min="4" max="4" customWidth="true" style="4" width="5.5546875"/>
    <col min="5" max="5" customWidth="true" style="4" width="5.6640625"/>
    <col min="6" max="7" customWidth="true" style="2" width="10.6640625"/>
    <col min="8" max="13" customWidth="true" style="2" width="5.5546875"/>
    <col min="14" max="16384" style="2" width="11.44140625"/>
  </cols>
  <sheetData>
    <row r="1" spans="1:70" ht="7.95" customHeight="1">
      <c r="A1" s="325"/>
      <c r="B1" s="326"/>
      <c r="C1" s="331" t="s">
        <v>144</v>
      </c>
      <c r="D1" s="332"/>
      <c r="E1" s="332"/>
      <c r="F1" s="332"/>
      <c r="G1" s="332"/>
      <c r="H1" s="332"/>
      <c r="I1" s="333"/>
      <c r="J1" s="340" t="s">
        <v>209</v>
      </c>
      <c r="K1" s="341"/>
      <c r="L1" s="341"/>
      <c r="M1" s="34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</row>
    <row r="2" spans="1:70" s="30" customFormat="1" ht="15" customHeight="1">
      <c r="A2" s="327"/>
      <c r="B2" s="328"/>
      <c r="C2" s="334"/>
      <c r="D2" s="335"/>
      <c r="E2" s="335"/>
      <c r="F2" s="335"/>
      <c r="G2" s="335"/>
      <c r="H2" s="335"/>
      <c r="I2" s="336"/>
      <c r="J2" s="343"/>
      <c r="K2" s="344"/>
      <c r="L2" s="344"/>
      <c r="M2" s="345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</row>
    <row r="3" spans="1:70" s="30" customFormat="1" ht="17.100000000000001" customHeight="1">
      <c r="A3" s="327"/>
      <c r="B3" s="328"/>
      <c r="C3" s="334"/>
      <c r="D3" s="335"/>
      <c r="E3" s="335"/>
      <c r="F3" s="335"/>
      <c r="G3" s="335"/>
      <c r="H3" s="335"/>
      <c r="I3" s="336"/>
      <c r="J3" s="343"/>
      <c r="K3" s="344"/>
      <c r="L3" s="344"/>
      <c r="M3" s="345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</row>
    <row r="4" spans="1:70" s="30" customFormat="1" ht="14.1" customHeight="1" thickBot="1">
      <c r="A4" s="329"/>
      <c r="B4" s="330"/>
      <c r="C4" s="337"/>
      <c r="D4" s="338"/>
      <c r="E4" s="338"/>
      <c r="F4" s="338"/>
      <c r="G4" s="338"/>
      <c r="H4" s="338"/>
      <c r="I4" s="339"/>
      <c r="J4" s="346"/>
      <c r="K4" s="347"/>
      <c r="L4" s="347"/>
      <c r="M4" s="348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</row>
    <row r="5" spans="1:70" ht="6.75" customHeight="1">
      <c r="A5" s="20"/>
      <c r="B5" s="5"/>
      <c r="C5" s="5"/>
      <c r="D5" s="6"/>
      <c r="E5" s="6"/>
      <c r="F5" s="5"/>
      <c r="G5" s="5"/>
      <c r="H5" s="5"/>
      <c r="I5" s="5"/>
      <c r="J5" s="5"/>
      <c r="K5" s="5"/>
      <c r="L5" s="5"/>
      <c r="M5" s="17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</row>
    <row r="6" spans="1:70" ht="17.399999999999999">
      <c r="A6" s="21"/>
      <c r="B6" s="13"/>
      <c r="C6" s="349" t="s">
        <v>145</v>
      </c>
      <c r="D6" s="349"/>
      <c r="E6" s="349"/>
      <c r="F6" s="349"/>
      <c r="G6" s="349"/>
      <c r="H6" s="349"/>
      <c r="I6" s="349"/>
      <c r="J6" s="258"/>
      <c r="L6" s="13"/>
      <c r="M6" s="18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</row>
    <row r="7" spans="1:70" ht="6" customHeight="1">
      <c r="A7" s="16"/>
      <c r="B7" s="7"/>
      <c r="C7" s="7"/>
      <c r="D7" s="8"/>
      <c r="E7" s="9"/>
      <c r="F7" s="10"/>
      <c r="G7" s="7"/>
      <c r="H7" s="7"/>
      <c r="I7" s="7"/>
      <c r="J7" s="7"/>
      <c r="K7" s="7"/>
      <c r="L7" s="7"/>
      <c r="M7" s="19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</row>
    <row r="8" spans="1:70" ht="12.75" customHeight="1">
      <c r="A8" s="20" t="s">
        <v>146</v>
      </c>
      <c r="B8" s="259"/>
      <c r="C8" s="10"/>
      <c r="D8" s="14"/>
      <c r="F8" s="15" t="s">
        <v>147</v>
      </c>
      <c r="G8" s="5"/>
      <c r="H8" s="5"/>
      <c r="I8" s="5"/>
      <c r="J8" s="10"/>
      <c r="K8" s="11"/>
      <c r="L8" s="12"/>
      <c r="M8" s="17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</row>
    <row r="9" spans="1:70" ht="12.75" customHeight="1">
      <c r="A9" s="21"/>
      <c r="B9" s="259"/>
      <c r="C9" s="10"/>
      <c r="D9" s="14"/>
      <c r="F9" s="15"/>
      <c r="G9" s="5"/>
      <c r="H9" s="5"/>
      <c r="I9" s="5"/>
      <c r="J9" s="10"/>
      <c r="K9" s="11"/>
      <c r="L9" s="12"/>
      <c r="M9" s="17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</row>
    <row r="10" spans="1:70" ht="6.75" customHeight="1" thickBot="1">
      <c r="A10" s="16"/>
      <c r="B10" s="5"/>
      <c r="C10" s="5"/>
      <c r="D10" s="6"/>
      <c r="E10" s="6"/>
      <c r="F10" s="12"/>
      <c r="G10" s="5"/>
      <c r="H10" s="5"/>
      <c r="I10" s="5"/>
      <c r="J10" s="5"/>
      <c r="K10" s="5"/>
      <c r="L10" s="5"/>
      <c r="M10" s="17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</row>
    <row r="11" spans="1:70" ht="12.75" customHeight="1" thickBot="1">
      <c r="A11" s="235" t="s">
        <v>148</v>
      </c>
      <c r="B11" s="236"/>
      <c r="C11" s="237"/>
      <c r="D11" s="350" t="s">
        <v>149</v>
      </c>
      <c r="E11" s="351"/>
      <c r="F11" s="356" t="s">
        <v>150</v>
      </c>
      <c r="G11" s="356" t="s">
        <v>151</v>
      </c>
      <c r="H11" s="359" t="s">
        <v>152</v>
      </c>
      <c r="I11" s="360"/>
      <c r="J11" s="365" t="s">
        <v>153</v>
      </c>
      <c r="K11" s="366"/>
      <c r="L11" s="366"/>
      <c r="M11" s="367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</row>
    <row r="12" spans="1:70" ht="12.75" customHeight="1">
      <c r="A12" s="238" t="s">
        <v>154</v>
      </c>
      <c r="B12" s="239"/>
      <c r="C12" s="240"/>
      <c r="D12" s="352"/>
      <c r="E12" s="353"/>
      <c r="F12" s="357"/>
      <c r="G12" s="357"/>
      <c r="H12" s="361"/>
      <c r="I12" s="362"/>
      <c r="J12" s="359" t="s">
        <v>155</v>
      </c>
      <c r="K12" s="360"/>
      <c r="L12" s="320" t="s">
        <v>156</v>
      </c>
      <c r="M12" s="321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</row>
    <row r="13" spans="1:70" ht="12.75" customHeight="1">
      <c r="A13" s="238" t="s">
        <v>157</v>
      </c>
      <c r="B13" s="239"/>
      <c r="C13" s="240"/>
      <c r="D13" s="352"/>
      <c r="E13" s="353"/>
      <c r="F13" s="357"/>
      <c r="G13" s="357"/>
      <c r="H13" s="361"/>
      <c r="I13" s="362"/>
      <c r="J13" s="368"/>
      <c r="K13" s="369"/>
      <c r="L13" s="322"/>
      <c r="M13" s="323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</row>
    <row r="14" spans="1:70" ht="12.75" customHeight="1">
      <c r="A14" s="241" t="s">
        <v>158</v>
      </c>
      <c r="B14" s="242"/>
      <c r="C14" s="243"/>
      <c r="D14" s="354"/>
      <c r="E14" s="355"/>
      <c r="F14" s="358"/>
      <c r="G14" s="358"/>
      <c r="H14" s="363"/>
      <c r="I14" s="364"/>
      <c r="J14" s="361"/>
      <c r="K14" s="369"/>
      <c r="L14" s="324"/>
      <c r="M14" s="323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</row>
    <row r="15" spans="1:70" ht="12.75" customHeight="1">
      <c r="A15" s="244"/>
      <c r="B15" s="245"/>
      <c r="C15" s="246"/>
      <c r="D15" s="308">
        <v>0</v>
      </c>
      <c r="E15" s="309"/>
      <c r="F15" s="316"/>
      <c r="G15" s="315"/>
      <c r="H15" s="308"/>
      <c r="I15" s="302"/>
      <c r="J15" s="301" t="s">
        <v>20</v>
      </c>
      <c r="K15" s="312"/>
      <c r="L15" s="290"/>
      <c r="M15" s="291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</row>
    <row r="16" spans="1:70" ht="12.75" customHeight="1">
      <c r="A16" s="247"/>
      <c r="B16" s="248"/>
      <c r="C16" s="249"/>
      <c r="D16" s="310"/>
      <c r="E16" s="311"/>
      <c r="F16" s="317"/>
      <c r="G16" s="298"/>
      <c r="H16" s="303"/>
      <c r="I16" s="304"/>
      <c r="J16" s="303"/>
      <c r="K16" s="313"/>
      <c r="L16" s="292"/>
      <c r="M16" s="293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</row>
    <row r="17" spans="1:70" ht="12.75" customHeight="1">
      <c r="A17" s="247"/>
      <c r="B17" s="248"/>
      <c r="C17" s="249"/>
      <c r="D17" s="305"/>
      <c r="E17" s="304"/>
      <c r="F17" s="318"/>
      <c r="G17" s="299"/>
      <c r="H17" s="305"/>
      <c r="I17" s="304"/>
      <c r="J17" s="305"/>
      <c r="K17" s="313"/>
      <c r="L17" s="294"/>
      <c r="M17" s="293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</row>
    <row r="18" spans="1:70" ht="12.75" customHeight="1">
      <c r="A18" s="250"/>
      <c r="B18" s="251"/>
      <c r="C18" s="252"/>
      <c r="D18" s="306"/>
      <c r="E18" s="307"/>
      <c r="F18" s="319"/>
      <c r="G18" s="300"/>
      <c r="H18" s="306"/>
      <c r="I18" s="307"/>
      <c r="J18" s="306"/>
      <c r="K18" s="314"/>
      <c r="L18" s="295"/>
      <c r="M18" s="296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</row>
    <row r="19" spans="1:70" ht="12.75" customHeight="1">
      <c r="A19" s="244"/>
      <c r="B19" s="245"/>
      <c r="C19" s="246"/>
      <c r="D19" s="308">
        <v>0</v>
      </c>
      <c r="E19" s="309"/>
      <c r="F19" s="316"/>
      <c r="G19" s="315"/>
      <c r="H19" s="301"/>
      <c r="I19" s="302"/>
      <c r="J19" s="301" t="s">
        <v>20</v>
      </c>
      <c r="K19" s="312"/>
      <c r="L19" s="290"/>
      <c r="M19" s="291"/>
      <c r="P19" s="229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</row>
    <row r="20" spans="1:70" ht="12.75" customHeight="1">
      <c r="A20" s="247"/>
      <c r="B20" s="248"/>
      <c r="C20" s="249"/>
      <c r="D20" s="310"/>
      <c r="E20" s="311"/>
      <c r="F20" s="317"/>
      <c r="G20" s="298"/>
      <c r="H20" s="303"/>
      <c r="I20" s="304"/>
      <c r="J20" s="303"/>
      <c r="K20" s="313"/>
      <c r="L20" s="292"/>
      <c r="M20" s="293"/>
      <c r="P20" s="229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</row>
    <row r="21" spans="1:70" customFormat="1" ht="12.75" customHeight="1">
      <c r="A21" s="247"/>
      <c r="B21" s="248"/>
      <c r="C21" s="249"/>
      <c r="D21" s="305"/>
      <c r="E21" s="304"/>
      <c r="F21" s="318"/>
      <c r="G21" s="299"/>
      <c r="H21" s="305"/>
      <c r="I21" s="304"/>
      <c r="J21" s="305"/>
      <c r="K21" s="313"/>
      <c r="L21" s="294"/>
      <c r="M21" s="293"/>
    </row>
    <row r="22" spans="1:70" customFormat="1" ht="12.75" customHeight="1">
      <c r="A22" s="250"/>
      <c r="B22" s="251"/>
      <c r="C22" s="252"/>
      <c r="D22" s="306"/>
      <c r="E22" s="307"/>
      <c r="F22" s="319"/>
      <c r="G22" s="300"/>
      <c r="H22" s="306"/>
      <c r="I22" s="307"/>
      <c r="J22" s="306"/>
      <c r="K22" s="314"/>
      <c r="L22" s="295"/>
      <c r="M22" s="296"/>
    </row>
    <row r="23" spans="1:70" ht="12.75" customHeight="1">
      <c r="A23" s="244"/>
      <c r="B23" s="245"/>
      <c r="C23" s="246"/>
      <c r="D23" s="308">
        <v>0</v>
      </c>
      <c r="E23" s="309"/>
      <c r="F23" s="315"/>
      <c r="G23" s="297"/>
      <c r="H23" s="301"/>
      <c r="I23" s="302"/>
      <c r="J23" s="301" t="s">
        <v>20</v>
      </c>
      <c r="K23" s="312"/>
      <c r="L23" s="290"/>
      <c r="M23" s="291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</row>
    <row r="24" spans="1:70" ht="12.75" customHeight="1">
      <c r="A24" s="247"/>
      <c r="B24" s="248"/>
      <c r="C24" s="249"/>
      <c r="D24" s="310"/>
      <c r="E24" s="311"/>
      <c r="F24" s="298"/>
      <c r="G24" s="298"/>
      <c r="H24" s="303"/>
      <c r="I24" s="304"/>
      <c r="J24" s="303"/>
      <c r="K24" s="313"/>
      <c r="L24" s="292"/>
      <c r="M24" s="293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</row>
    <row r="25" spans="1:70" ht="12.75" customHeight="1">
      <c r="A25" s="247"/>
      <c r="B25" s="248"/>
      <c r="C25" s="249"/>
      <c r="D25" s="305"/>
      <c r="E25" s="304"/>
      <c r="F25" s="299"/>
      <c r="G25" s="299"/>
      <c r="H25" s="305"/>
      <c r="I25" s="304"/>
      <c r="J25" s="305"/>
      <c r="K25" s="313"/>
      <c r="L25" s="294"/>
      <c r="M25" s="293"/>
      <c r="P25" s="229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</row>
    <row r="26" spans="1:70" ht="12.75" customHeight="1">
      <c r="A26" s="250"/>
      <c r="B26" s="251"/>
      <c r="C26" s="252"/>
      <c r="D26" s="306"/>
      <c r="E26" s="307"/>
      <c r="F26" s="300"/>
      <c r="G26" s="300"/>
      <c r="H26" s="306"/>
      <c r="I26" s="307"/>
      <c r="J26" s="306"/>
      <c r="K26" s="314"/>
      <c r="L26" s="295"/>
      <c r="M26" s="296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</row>
    <row r="27" spans="1:70" ht="12.75" customHeight="1">
      <c r="A27" s="244"/>
      <c r="B27" s="245"/>
      <c r="C27" s="246"/>
      <c r="D27" s="308">
        <v>0</v>
      </c>
      <c r="E27" s="309"/>
      <c r="F27" s="297"/>
      <c r="G27" s="297"/>
      <c r="H27" s="301"/>
      <c r="I27" s="302"/>
      <c r="J27" s="301" t="s">
        <v>20</v>
      </c>
      <c r="K27" s="312"/>
      <c r="L27" s="290"/>
      <c r="M27" s="291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</row>
    <row r="28" spans="1:70" ht="12.75" customHeight="1">
      <c r="A28" s="247"/>
      <c r="B28" s="248"/>
      <c r="C28" s="249"/>
      <c r="D28" s="310"/>
      <c r="E28" s="311"/>
      <c r="F28" s="298"/>
      <c r="G28" s="298"/>
      <c r="H28" s="303"/>
      <c r="I28" s="304"/>
      <c r="J28" s="303"/>
      <c r="K28" s="313"/>
      <c r="L28" s="292"/>
      <c r="M28" s="293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</row>
    <row r="29" spans="1:70" ht="12.75" customHeight="1">
      <c r="A29" s="247"/>
      <c r="B29" s="248"/>
      <c r="C29" s="249"/>
      <c r="D29" s="305"/>
      <c r="E29" s="304"/>
      <c r="F29" s="299"/>
      <c r="G29" s="299"/>
      <c r="H29" s="305"/>
      <c r="I29" s="304"/>
      <c r="J29" s="305"/>
      <c r="K29" s="313"/>
      <c r="L29" s="294"/>
      <c r="M29" s="293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</row>
    <row r="30" spans="1:70" ht="12.75" customHeight="1">
      <c r="A30" s="250"/>
      <c r="B30" s="251"/>
      <c r="C30" s="252"/>
      <c r="D30" s="306"/>
      <c r="E30" s="307"/>
      <c r="F30" s="300"/>
      <c r="G30" s="300"/>
      <c r="H30" s="306"/>
      <c r="I30" s="307"/>
      <c r="J30" s="306"/>
      <c r="K30" s="314"/>
      <c r="L30" s="295"/>
      <c r="M30" s="296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</row>
    <row r="31" spans="1:70" ht="12.75" customHeight="1">
      <c r="A31" s="244"/>
      <c r="B31" s="245"/>
      <c r="C31" s="246"/>
      <c r="D31" s="308">
        <v>0</v>
      </c>
      <c r="E31" s="309"/>
      <c r="F31" s="297"/>
      <c r="G31" s="297"/>
      <c r="H31" s="301"/>
      <c r="I31" s="302"/>
      <c r="J31" s="301" t="s">
        <v>20</v>
      </c>
      <c r="K31" s="312"/>
      <c r="L31" s="290"/>
      <c r="M31" s="291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</row>
    <row r="32" spans="1:70" ht="12.75" customHeight="1">
      <c r="A32" s="247"/>
      <c r="B32" s="248"/>
      <c r="C32" s="249"/>
      <c r="D32" s="310"/>
      <c r="E32" s="311"/>
      <c r="F32" s="298"/>
      <c r="G32" s="298"/>
      <c r="H32" s="303"/>
      <c r="I32" s="304"/>
      <c r="J32" s="303"/>
      <c r="K32" s="313"/>
      <c r="L32" s="292"/>
      <c r="M32" s="293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</row>
    <row r="33" spans="1:70" customFormat="1" ht="12.75" customHeight="1">
      <c r="A33" s="247"/>
      <c r="B33" s="248"/>
      <c r="C33" s="249"/>
      <c r="D33" s="305"/>
      <c r="E33" s="304"/>
      <c r="F33" s="299"/>
      <c r="G33" s="299"/>
      <c r="H33" s="305"/>
      <c r="I33" s="304"/>
      <c r="J33" s="305"/>
      <c r="K33" s="313"/>
      <c r="L33" s="294"/>
      <c r="M33" s="293"/>
    </row>
    <row r="34" spans="1:70" customFormat="1" ht="12.75" customHeight="1">
      <c r="A34" s="250"/>
      <c r="B34" s="251"/>
      <c r="C34" s="252"/>
      <c r="D34" s="306"/>
      <c r="E34" s="307"/>
      <c r="F34" s="300"/>
      <c r="G34" s="300"/>
      <c r="H34" s="306"/>
      <c r="I34" s="307"/>
      <c r="J34" s="306"/>
      <c r="K34" s="314"/>
      <c r="L34" s="295"/>
      <c r="M34" s="296"/>
    </row>
    <row r="35" spans="1:70" ht="12.75" customHeight="1">
      <c r="A35" s="244"/>
      <c r="B35" s="245"/>
      <c r="C35" s="246"/>
      <c r="D35" s="308">
        <v>0</v>
      </c>
      <c r="E35" s="309"/>
      <c r="F35" s="297"/>
      <c r="G35" s="297"/>
      <c r="H35" s="301"/>
      <c r="I35" s="302"/>
      <c r="J35" s="301" t="s">
        <v>20</v>
      </c>
      <c r="K35" s="312"/>
      <c r="L35" s="290"/>
      <c r="M35" s="291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</row>
    <row r="36" spans="1:70" ht="12.75" customHeight="1">
      <c r="A36" s="247"/>
      <c r="B36" s="248"/>
      <c r="C36" s="249"/>
      <c r="D36" s="310"/>
      <c r="E36" s="311"/>
      <c r="F36" s="298"/>
      <c r="G36" s="298"/>
      <c r="H36" s="303"/>
      <c r="I36" s="304"/>
      <c r="J36" s="303"/>
      <c r="K36" s="313"/>
      <c r="L36" s="292"/>
      <c r="M36" s="293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</row>
    <row r="37" spans="1:70" ht="12.75" customHeight="1">
      <c r="A37" s="247"/>
      <c r="B37" s="248"/>
      <c r="C37" s="249"/>
      <c r="D37" s="305"/>
      <c r="E37" s="304"/>
      <c r="F37" s="299"/>
      <c r="G37" s="299"/>
      <c r="H37" s="305"/>
      <c r="I37" s="304"/>
      <c r="J37" s="305"/>
      <c r="K37" s="313"/>
      <c r="L37" s="294"/>
      <c r="M37" s="293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</row>
    <row r="38" spans="1:70" ht="12.6" customHeight="1">
      <c r="A38" s="250"/>
      <c r="B38" s="251"/>
      <c r="C38" s="252"/>
      <c r="D38" s="306"/>
      <c r="E38" s="307"/>
      <c r="F38" s="300"/>
      <c r="G38" s="300"/>
      <c r="H38" s="306"/>
      <c r="I38" s="307"/>
      <c r="J38" s="306"/>
      <c r="K38" s="314"/>
      <c r="L38" s="295"/>
      <c r="M38" s="296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</row>
    <row r="39" spans="1:70" ht="12.75" customHeight="1">
      <c r="A39" s="244"/>
      <c r="B39" s="245"/>
      <c r="C39" s="246"/>
      <c r="D39" s="308">
        <v>0</v>
      </c>
      <c r="E39" s="309"/>
      <c r="F39" s="297"/>
      <c r="G39" s="297"/>
      <c r="H39" s="301"/>
      <c r="I39" s="302"/>
      <c r="J39" s="301" t="s">
        <v>20</v>
      </c>
      <c r="K39" s="312"/>
      <c r="L39" s="290"/>
      <c r="M39" s="291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</row>
    <row r="40" spans="1:70" ht="12.75" customHeight="1">
      <c r="A40" s="247"/>
      <c r="B40" s="248"/>
      <c r="C40" s="249"/>
      <c r="D40" s="310"/>
      <c r="E40" s="311"/>
      <c r="F40" s="298"/>
      <c r="G40" s="298"/>
      <c r="H40" s="303"/>
      <c r="I40" s="304"/>
      <c r="J40" s="303"/>
      <c r="K40" s="313"/>
      <c r="L40" s="292"/>
      <c r="M40" s="293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</row>
    <row r="41" spans="1:70" ht="12.75" customHeight="1">
      <c r="A41" s="247"/>
      <c r="B41" s="248"/>
      <c r="C41" s="249"/>
      <c r="D41" s="305"/>
      <c r="E41" s="304"/>
      <c r="F41" s="299"/>
      <c r="G41" s="299"/>
      <c r="H41" s="305"/>
      <c r="I41" s="304"/>
      <c r="J41" s="305"/>
      <c r="K41" s="313"/>
      <c r="L41" s="294"/>
      <c r="M41" s="293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</row>
    <row r="42" spans="1:70" ht="12.75" customHeight="1">
      <c r="A42" s="250"/>
      <c r="B42" s="251"/>
      <c r="C42" s="252"/>
      <c r="D42" s="306"/>
      <c r="E42" s="307"/>
      <c r="F42" s="300"/>
      <c r="G42" s="300"/>
      <c r="H42" s="306"/>
      <c r="I42" s="307"/>
      <c r="J42" s="306"/>
      <c r="K42" s="314"/>
      <c r="L42" s="295"/>
      <c r="M42" s="296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</row>
    <row r="43" spans="1:70" ht="12.75" customHeight="1">
      <c r="A43" s="244"/>
      <c r="B43" s="245"/>
      <c r="C43" s="246"/>
      <c r="D43" s="468">
        <v>0</v>
      </c>
      <c r="E43" s="468"/>
      <c r="F43" s="297"/>
      <c r="G43" s="297"/>
      <c r="H43" s="301"/>
      <c r="I43" s="302"/>
      <c r="J43" s="301" t="s">
        <v>20</v>
      </c>
      <c r="K43" s="312"/>
      <c r="L43" s="290"/>
      <c r="M43" s="291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</row>
    <row r="44" spans="1:70" ht="12.75" customHeight="1">
      <c r="A44" s="244"/>
      <c r="B44" s="245"/>
      <c r="C44" s="246"/>
      <c r="D44" s="469"/>
      <c r="E44" s="469"/>
      <c r="F44" s="298"/>
      <c r="G44" s="298"/>
      <c r="H44" s="303"/>
      <c r="I44" s="304"/>
      <c r="J44" s="303"/>
      <c r="K44" s="313"/>
      <c r="L44" s="292"/>
      <c r="M44" s="293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</row>
    <row r="45" spans="1:70" ht="12.75" customHeight="1">
      <c r="A45" s="247"/>
      <c r="B45" s="248"/>
      <c r="C45" s="249"/>
      <c r="D45" s="469"/>
      <c r="E45" s="469"/>
      <c r="F45" s="299"/>
      <c r="G45" s="299"/>
      <c r="H45" s="305"/>
      <c r="I45" s="304"/>
      <c r="J45" s="305"/>
      <c r="K45" s="313"/>
      <c r="L45" s="294"/>
      <c r="M45" s="293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</row>
    <row r="46" spans="1:70" ht="12.75" customHeight="1">
      <c r="A46" s="247"/>
      <c r="B46" s="248"/>
      <c r="C46" s="249"/>
      <c r="D46" s="469"/>
      <c r="E46" s="469"/>
      <c r="F46" s="300"/>
      <c r="G46" s="300"/>
      <c r="H46" s="306"/>
      <c r="I46" s="307"/>
      <c r="J46" s="306"/>
      <c r="K46" s="314"/>
      <c r="L46" s="295"/>
      <c r="M46" s="296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</row>
    <row r="47" spans="1:70" ht="12.75" customHeight="1" thickBot="1">
      <c r="A47" s="250"/>
      <c r="B47" s="251"/>
      <c r="C47" s="252"/>
      <c r="D47" s="469"/>
      <c r="E47" s="469"/>
      <c r="F47" s="227"/>
      <c r="G47" s="253"/>
      <c r="H47" s="216"/>
      <c r="I47" s="217"/>
      <c r="J47" s="254"/>
      <c r="K47" s="254"/>
      <c r="L47" s="254"/>
      <c r="M47" s="24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</row>
    <row r="48" spans="1:70" ht="15" customHeight="1" thickBot="1">
      <c r="A48" s="23"/>
      <c r="B48" s="29" t="s">
        <v>160</v>
      </c>
      <c r="C48" s="2"/>
      <c r="D48" s="226">
        <f>MIN(D24:E46)</f>
        <v>0</v>
      </c>
      <c r="E48" s="228"/>
      <c r="F48" s="35" t="s">
        <v>161</v>
      </c>
      <c r="G48" s="288">
        <f>(SUM(G15:G46))*D48</f>
        <v>0</v>
      </c>
      <c r="H48" s="2"/>
      <c r="I48" s="2"/>
      <c r="J48" s="2"/>
      <c r="K48" s="2"/>
      <c r="L48" s="2"/>
      <c r="M48" s="225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</row>
    <row r="49" spans="1:70" ht="15" customHeight="1" thickBot="1">
      <c r="A49" s="23"/>
      <c r="B49" s="29" t="s">
        <v>162</v>
      </c>
      <c r="C49" s="2"/>
      <c r="D49" s="286">
        <f>AVERAGE(D24:E46)</f>
        <v>0</v>
      </c>
      <c r="E49" s="4"/>
      <c r="F49" s="2"/>
      <c r="G49" s="2"/>
      <c r="H49" s="33"/>
      <c r="I49" s="33"/>
      <c r="J49" s="2"/>
      <c r="K49" s="2"/>
      <c r="L49" s="2"/>
      <c r="M49" s="24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</row>
    <row r="50" spans="1:70" ht="15" customHeight="1" thickBot="1">
      <c r="A50" s="23"/>
      <c r="B50" s="29"/>
      <c r="C50" s="2"/>
      <c r="D50" s="226">
        <f>MAX(D24:E46)</f>
        <v>0</v>
      </c>
      <c r="E50" s="4"/>
      <c r="F50" s="35"/>
      <c r="G50" s="33"/>
      <c r="H50" s="33"/>
      <c r="I50" s="33"/>
      <c r="J50" s="2"/>
      <c r="K50" s="2"/>
      <c r="L50" s="2"/>
      <c r="M50" s="24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</row>
    <row r="51" spans="1:70" s="34" customFormat="1" ht="15" customHeight="1">
      <c r="A51" s="36" t="s">
        <v>163</v>
      </c>
      <c r="B51" s="37"/>
      <c r="C51" s="38" t="s">
        <v>164</v>
      </c>
      <c r="D51" s="32"/>
      <c r="E51" s="4"/>
      <c r="F51" s="28"/>
      <c r="G51" s="33"/>
      <c r="H51" s="33"/>
      <c r="I51" s="33"/>
      <c r="J51" s="2"/>
      <c r="K51" s="2"/>
      <c r="L51" s="2"/>
      <c r="M51" s="24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</row>
    <row r="52" spans="1:70" ht="14.4" customHeight="1" thickBot="1">
      <c r="A52" s="25"/>
      <c r="B52" s="26"/>
      <c r="C52" s="27"/>
      <c r="D52" s="223"/>
      <c r="E52" s="223"/>
      <c r="F52" s="223"/>
      <c r="G52" s="223"/>
      <c r="H52" s="223"/>
      <c r="I52" s="223"/>
      <c r="J52" s="223"/>
      <c r="K52" s="223"/>
      <c r="L52" s="223"/>
      <c r="M52" s="224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</row>
    <row r="53" spans="1:70" ht="4.5" customHeight="1">
      <c r="A53" s="1"/>
      <c r="B53" s="1"/>
      <c r="C53" s="1"/>
      <c r="D53" s="3"/>
      <c r="E53" s="3"/>
      <c r="F53" s="1"/>
      <c r="G53" s="1"/>
      <c r="H53" s="1"/>
      <c r="I53" s="1"/>
      <c r="J53" s="1"/>
      <c r="K53" s="1"/>
      <c r="L53" s="1"/>
      <c r="M53" s="1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</row>
    <row r="54" spans="1:70" ht="12.75" customHeight="1"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</row>
    <row r="55" spans="1:70"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</row>
    <row r="56" spans="1:70"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</row>
    <row r="57" spans="1:70"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</row>
    <row r="58" spans="1:70"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</row>
    <row r="59" spans="1:70"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</row>
    <row r="60" spans="1:70"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</row>
    <row r="61" spans="1:70"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</row>
    <row r="62" spans="1:70"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</row>
    <row r="63" spans="1:70"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</row>
    <row r="64" spans="1:70"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</row>
    <row r="65" spans="35:70"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</row>
    <row r="66" spans="35:70"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</row>
    <row r="67" spans="35:70"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</row>
    <row r="68" spans="35:70"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</row>
    <row r="69" spans="35:70"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</row>
    <row r="70" spans="35:70"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</row>
    <row r="71" spans="35:70"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</row>
    <row r="72" spans="35:70"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</row>
    <row r="73" spans="35:70"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</row>
    <row r="74" spans="35:70"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</row>
    <row r="75" spans="35:70"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</row>
    <row r="76" spans="35:70"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</row>
    <row r="77" spans="35:70"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</row>
    <row r="78" spans="35:70"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</row>
    <row r="79" spans="35:70"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</row>
    <row r="80" spans="35:70"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</row>
    <row r="81" spans="35:70"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</row>
    <row r="82" spans="35:70"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</row>
    <row r="83" spans="35:70"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</row>
    <row r="84" spans="35:70"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</row>
    <row r="85" spans="35:70"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</row>
    <row r="86" spans="35:70"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</row>
    <row r="87" spans="35:70"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</row>
    <row r="88" spans="35:70"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</row>
    <row r="89" spans="35:70"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</row>
    <row r="90" spans="35:70"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</row>
    <row r="91" spans="35:70"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</row>
    <row r="92" spans="35:70"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</row>
    <row r="93" spans="35:70"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</row>
    <row r="94" spans="35:70"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</row>
    <row r="95" spans="35:70"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</row>
    <row r="96" spans="35:70"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</row>
    <row r="97" spans="35:70"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</row>
    <row r="98" spans="35:70"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</row>
    <row r="99" spans="35:70"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</row>
    <row r="100" spans="35:70"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</row>
    <row r="101" spans="35:70"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</row>
    <row r="102" spans="35:70"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</row>
    <row r="103" spans="35:70"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</row>
    <row r="104" spans="35:70"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</row>
    <row r="105" spans="35:70"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</row>
    <row r="106" spans="35:70"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</row>
    <row r="107" spans="35:70"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</row>
    <row r="108" spans="35:70"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</row>
    <row r="109" spans="35:70"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</row>
    <row r="110" spans="35:70"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</row>
    <row r="111" spans="35:70"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</row>
    <row r="112" spans="35:70"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</row>
    <row r="113" spans="35:70"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</row>
    <row r="114" spans="35:70"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</row>
    <row r="115" spans="35:70"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</row>
    <row r="116" spans="35:70"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</row>
    <row r="117" spans="35:70"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</row>
    <row r="118" spans="35:70"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</row>
    <row r="119" spans="35:70"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</row>
    <row r="120" spans="35:70"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</row>
    <row r="121" spans="35:70"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</row>
    <row r="122" spans="35:70"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</row>
    <row r="123" spans="35:70"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</row>
    <row r="124" spans="35:70"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</row>
    <row r="125" spans="35:70"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</row>
    <row r="126" spans="35:70"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</row>
    <row r="127" spans="35:70"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</row>
    <row r="128" spans="35:70"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</row>
    <row r="129" spans="35:70"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</row>
    <row r="130" spans="35:70"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</row>
    <row r="131" spans="35:70"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</row>
    <row r="132" spans="35:70"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</row>
    <row r="133" spans="35:70"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</row>
    <row r="134" spans="35:70"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</row>
    <row r="135" spans="35:70"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</row>
    <row r="136" spans="35:70"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</row>
    <row r="137" spans="35:70"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</row>
    <row r="138" spans="35:70"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</row>
    <row r="139" spans="35:70"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</row>
    <row r="140" spans="35:70"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</row>
    <row r="141" spans="35:70"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</row>
    <row r="142" spans="35:70"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</row>
    <row r="143" spans="35:70"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</row>
    <row r="144" spans="35:70"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</row>
    <row r="145" spans="35:70"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</row>
    <row r="146" spans="35:70"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</row>
    <row r="147" spans="35:70"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</row>
    <row r="148" spans="35:70"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</row>
    <row r="149" spans="35:70"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</row>
    <row r="150" spans="35:70"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</row>
    <row r="151" spans="35:70"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</row>
    <row r="152" spans="35:70"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</row>
    <row r="153" spans="35:70"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</row>
    <row r="154" spans="35:70"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</row>
    <row r="155" spans="35:70"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</row>
    <row r="156" spans="35:70"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</row>
    <row r="157" spans="35:70"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</row>
    <row r="158" spans="35:70"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</row>
    <row r="159" spans="35:70"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</row>
    <row r="160" spans="35:70"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</row>
    <row r="161" spans="35:70"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</row>
    <row r="162" spans="35:70"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</row>
    <row r="163" spans="35:70"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</row>
    <row r="164" spans="35:70"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</row>
    <row r="165" spans="35:70"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</row>
    <row r="166" spans="35:70"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</row>
    <row r="167" spans="35:70"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</row>
    <row r="168" spans="35:70"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</row>
    <row r="169" spans="35:70"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</row>
    <row r="170" spans="35:70"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</row>
    <row r="171" spans="35:70"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</row>
    <row r="172" spans="35:70"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</row>
    <row r="173" spans="35:70"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</row>
    <row r="174" spans="35:70"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</row>
    <row r="175" spans="35:70"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</row>
  </sheetData>
  <mergeCells count="59">
    <mergeCell ref="A1:B4"/>
    <mergeCell ref="C1:I4"/>
    <mergeCell ref="J1:M4"/>
    <mergeCell ref="C6:I6"/>
    <mergeCell ref="D11:E14"/>
    <mergeCell ref="F11:F14"/>
    <mergeCell ref="G11:G14"/>
    <mergeCell ref="H11:I14"/>
    <mergeCell ref="J11:M11"/>
    <mergeCell ref="J12:K14"/>
    <mergeCell ref="L19:M22"/>
    <mergeCell ref="L12:M14"/>
    <mergeCell ref="D15:E18"/>
    <mergeCell ref="F15:F18"/>
    <mergeCell ref="G15:G18"/>
    <mergeCell ref="H15:I18"/>
    <mergeCell ref="J15:K18"/>
    <mergeCell ref="L15:M18"/>
    <mergeCell ref="D19:E22"/>
    <mergeCell ref="F19:F22"/>
    <mergeCell ref="G19:G22"/>
    <mergeCell ref="H19:I22"/>
    <mergeCell ref="J19:K22"/>
    <mergeCell ref="L27:M30"/>
    <mergeCell ref="D23:E26"/>
    <mergeCell ref="F23:F26"/>
    <mergeCell ref="G23:G26"/>
    <mergeCell ref="H23:I26"/>
    <mergeCell ref="J23:K26"/>
    <mergeCell ref="L23:M26"/>
    <mergeCell ref="D27:E30"/>
    <mergeCell ref="F27:F30"/>
    <mergeCell ref="G27:G30"/>
    <mergeCell ref="H27:I30"/>
    <mergeCell ref="J27:K30"/>
    <mergeCell ref="L35:M38"/>
    <mergeCell ref="D31:E34"/>
    <mergeCell ref="F31:F34"/>
    <mergeCell ref="G31:G34"/>
    <mergeCell ref="H31:I34"/>
    <mergeCell ref="J31:K34"/>
    <mergeCell ref="L31:M34"/>
    <mergeCell ref="D35:E38"/>
    <mergeCell ref="F35:F38"/>
    <mergeCell ref="G35:G38"/>
    <mergeCell ref="H35:I38"/>
    <mergeCell ref="J35:K38"/>
    <mergeCell ref="L43:M46"/>
    <mergeCell ref="D39:E42"/>
    <mergeCell ref="F39:F42"/>
    <mergeCell ref="G39:G42"/>
    <mergeCell ref="H39:I42"/>
    <mergeCell ref="J39:K42"/>
    <mergeCell ref="L39:M42"/>
    <mergeCell ref="F43:F46"/>
    <mergeCell ref="G43:G46"/>
    <mergeCell ref="H43:I46"/>
    <mergeCell ref="J43:K46"/>
    <mergeCell ref="D43:E47"/>
  </mergeCells>
  <conditionalFormatting sqref="D15:E42 D43">
    <cfRule type="cellIs" dxfId="14" priority="1" operator="greaterThan">
      <formula>"0.5"</formula>
    </cfRule>
    <cfRule type="cellIs" dxfId="13" priority="2" operator="between">
      <formula>"0.1"</formula>
      <formula>"0.5"</formula>
    </cfRule>
    <cfRule type="cellIs" dxfId="12" priority="3" operator="equal">
      <formula>0</formula>
    </cfRule>
  </conditionalFormatting>
  <printOptions horizontalCentered="1" verticalCentered="1"/>
  <pageMargins left="0.27559055118110237" right="0.19685039370078741" top="0.43307086614173229" bottom="0.43307086614173229" header="0.31496062992125984" footer="0.39370078740157483"/>
  <pageSetup paperSize="9" orientation="portrait" horizontalDpi="1200" verticalDpi="1200" r:id="rId1"/>
  <headerFooter alignWithMargins="0">
    <oddHeader>&amp;LPI 3010 Enclosure 1(a) / 09.24</oddHeader>
    <oddFooter xml:space="preserve"><![CDATA[&L_x000D_&1#&"Arial"&10&K000000 [Internal]&R&",Standard"&7    ]]></oddFooter>
  </headerFooter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B46B00-D57D-43C2-AB2F-58F74C5859F3}">
  <sheetPr>
    <pageSetUpPr fitToPage="1"/>
  </sheetPr>
  <dimension ref="A1:BR175"/>
  <sheetViews>
    <sheetView showGridLines="0" topLeftCell="A18" zoomScale="145" zoomScaleNormal="145" zoomScaleSheetLayoutView="115" zoomScalePageLayoutView="85" workbookViewId="0">
      <selection activeCell="P42" sqref="P42"/>
    </sheetView>
  </sheetViews>
  <sheetFormatPr baseColWidth="10" defaultColWidth="11.44140625" defaultRowHeight="12.6"/>
  <cols>
    <col min="1" max="1" customWidth="true" style="2" width="13.33203125"/>
    <col min="2" max="2" customWidth="true" style="2" width="11.5546875"/>
    <col min="3" max="3" customWidth="true" style="2" width="6.33203125"/>
    <col min="4" max="4" customWidth="true" style="4" width="5.5546875"/>
    <col min="5" max="5" customWidth="true" style="4" width="5.6640625"/>
    <col min="6" max="7" customWidth="true" style="2" width="10.6640625"/>
    <col min="8" max="13" customWidth="true" style="2" width="5.5546875"/>
    <col min="14" max="16384" style="2" width="11.44140625"/>
  </cols>
  <sheetData>
    <row r="1" spans="1:70" ht="7.95" customHeight="1">
      <c r="A1" s="325"/>
      <c r="B1" s="326"/>
      <c r="C1" s="331" t="s">
        <v>144</v>
      </c>
      <c r="D1" s="332"/>
      <c r="E1" s="332"/>
      <c r="F1" s="332"/>
      <c r="G1" s="332"/>
      <c r="H1" s="332"/>
      <c r="I1" s="333"/>
      <c r="J1" s="340" t="s">
        <v>210</v>
      </c>
      <c r="K1" s="341"/>
      <c r="L1" s="341"/>
      <c r="M1" s="34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</row>
    <row r="2" spans="1:70" s="30" customFormat="1" ht="15" customHeight="1">
      <c r="A2" s="327"/>
      <c r="B2" s="328"/>
      <c r="C2" s="334"/>
      <c r="D2" s="335"/>
      <c r="E2" s="335"/>
      <c r="F2" s="335"/>
      <c r="G2" s="335"/>
      <c r="H2" s="335"/>
      <c r="I2" s="336"/>
      <c r="J2" s="343"/>
      <c r="K2" s="344"/>
      <c r="L2" s="344"/>
      <c r="M2" s="345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</row>
    <row r="3" spans="1:70" s="30" customFormat="1" ht="17.100000000000001" customHeight="1">
      <c r="A3" s="327"/>
      <c r="B3" s="328"/>
      <c r="C3" s="334"/>
      <c r="D3" s="335"/>
      <c r="E3" s="335"/>
      <c r="F3" s="335"/>
      <c r="G3" s="335"/>
      <c r="H3" s="335"/>
      <c r="I3" s="336"/>
      <c r="J3" s="343"/>
      <c r="K3" s="344"/>
      <c r="L3" s="344"/>
      <c r="M3" s="345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</row>
    <row r="4" spans="1:70" s="30" customFormat="1" ht="14.1" customHeight="1" thickBot="1">
      <c r="A4" s="329"/>
      <c r="B4" s="330"/>
      <c r="C4" s="337"/>
      <c r="D4" s="338"/>
      <c r="E4" s="338"/>
      <c r="F4" s="338"/>
      <c r="G4" s="338"/>
      <c r="H4" s="338"/>
      <c r="I4" s="339"/>
      <c r="J4" s="346"/>
      <c r="K4" s="347"/>
      <c r="L4" s="347"/>
      <c r="M4" s="348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</row>
    <row r="5" spans="1:70" ht="6.75" customHeight="1">
      <c r="A5" s="20"/>
      <c r="B5" s="5"/>
      <c r="C5" s="5"/>
      <c r="D5" s="6"/>
      <c r="E5" s="6"/>
      <c r="F5" s="5"/>
      <c r="G5" s="5"/>
      <c r="H5" s="5"/>
      <c r="I5" s="5"/>
      <c r="J5" s="5"/>
      <c r="K5" s="5"/>
      <c r="L5" s="5"/>
      <c r="M5" s="17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</row>
    <row r="6" spans="1:70" ht="17.399999999999999">
      <c r="A6" s="21"/>
      <c r="B6" s="13"/>
      <c r="C6" s="349" t="s">
        <v>145</v>
      </c>
      <c r="D6" s="349"/>
      <c r="E6" s="349"/>
      <c r="F6" s="349"/>
      <c r="G6" s="349"/>
      <c r="H6" s="349"/>
      <c r="I6" s="349"/>
      <c r="J6" s="258"/>
      <c r="L6" s="13"/>
      <c r="M6" s="18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</row>
    <row r="7" spans="1:70" ht="6" customHeight="1">
      <c r="A7" s="16"/>
      <c r="B7" s="7"/>
      <c r="C7" s="7"/>
      <c r="D7" s="8"/>
      <c r="E7" s="9"/>
      <c r="F7" s="10"/>
      <c r="G7" s="7"/>
      <c r="H7" s="7"/>
      <c r="I7" s="7"/>
      <c r="J7" s="7"/>
      <c r="K7" s="7"/>
      <c r="L7" s="7"/>
      <c r="M7" s="19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</row>
    <row r="8" spans="1:70" ht="12.75" customHeight="1">
      <c r="A8" s="20" t="s">
        <v>146</v>
      </c>
      <c r="B8" s="259"/>
      <c r="C8" s="10"/>
      <c r="D8" s="14"/>
      <c r="F8" s="15" t="s">
        <v>147</v>
      </c>
      <c r="G8" s="5"/>
      <c r="H8" s="5"/>
      <c r="I8" s="5"/>
      <c r="J8" s="10"/>
      <c r="K8" s="11"/>
      <c r="L8" s="12"/>
      <c r="M8" s="17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</row>
    <row r="9" spans="1:70" ht="12.75" customHeight="1">
      <c r="A9" s="21"/>
      <c r="B9" s="259"/>
      <c r="C9" s="10"/>
      <c r="D9" s="14"/>
      <c r="F9" s="15"/>
      <c r="G9" s="5"/>
      <c r="H9" s="5"/>
      <c r="I9" s="5"/>
      <c r="J9" s="10"/>
      <c r="K9" s="11"/>
      <c r="L9" s="12"/>
      <c r="M9" s="17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</row>
    <row r="10" spans="1:70" ht="6.75" customHeight="1" thickBot="1">
      <c r="A10" s="16"/>
      <c r="B10" s="5"/>
      <c r="C10" s="5"/>
      <c r="D10" s="6"/>
      <c r="E10" s="6"/>
      <c r="F10" s="12"/>
      <c r="G10" s="5"/>
      <c r="H10" s="5"/>
      <c r="I10" s="5"/>
      <c r="J10" s="5"/>
      <c r="K10" s="5"/>
      <c r="L10" s="5"/>
      <c r="M10" s="17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</row>
    <row r="11" spans="1:70" ht="12.75" customHeight="1" thickBot="1">
      <c r="A11" s="235" t="s">
        <v>148</v>
      </c>
      <c r="B11" s="236"/>
      <c r="C11" s="237"/>
      <c r="D11" s="350" t="s">
        <v>149</v>
      </c>
      <c r="E11" s="351"/>
      <c r="F11" s="356" t="s">
        <v>150</v>
      </c>
      <c r="G11" s="356" t="s">
        <v>151</v>
      </c>
      <c r="H11" s="359" t="s">
        <v>152</v>
      </c>
      <c r="I11" s="360"/>
      <c r="J11" s="365" t="s">
        <v>153</v>
      </c>
      <c r="K11" s="366"/>
      <c r="L11" s="366"/>
      <c r="M11" s="367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</row>
    <row r="12" spans="1:70" ht="12.75" customHeight="1">
      <c r="A12" s="238" t="s">
        <v>154</v>
      </c>
      <c r="B12" s="239"/>
      <c r="C12" s="240"/>
      <c r="D12" s="352"/>
      <c r="E12" s="353"/>
      <c r="F12" s="357"/>
      <c r="G12" s="357"/>
      <c r="H12" s="361"/>
      <c r="I12" s="362"/>
      <c r="J12" s="359" t="s">
        <v>155</v>
      </c>
      <c r="K12" s="360"/>
      <c r="L12" s="320" t="s">
        <v>156</v>
      </c>
      <c r="M12" s="321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</row>
    <row r="13" spans="1:70" ht="12.75" customHeight="1">
      <c r="A13" s="238" t="s">
        <v>157</v>
      </c>
      <c r="B13" s="239"/>
      <c r="C13" s="240"/>
      <c r="D13" s="352"/>
      <c r="E13" s="353"/>
      <c r="F13" s="357"/>
      <c r="G13" s="357"/>
      <c r="H13" s="361"/>
      <c r="I13" s="362"/>
      <c r="J13" s="368"/>
      <c r="K13" s="369"/>
      <c r="L13" s="322"/>
      <c r="M13" s="323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</row>
    <row r="14" spans="1:70" ht="12.75" customHeight="1">
      <c r="A14" s="241" t="s">
        <v>158</v>
      </c>
      <c r="B14" s="242"/>
      <c r="C14" s="243"/>
      <c r="D14" s="354"/>
      <c r="E14" s="355"/>
      <c r="F14" s="358"/>
      <c r="G14" s="358"/>
      <c r="H14" s="363"/>
      <c r="I14" s="364"/>
      <c r="J14" s="361"/>
      <c r="K14" s="369"/>
      <c r="L14" s="324"/>
      <c r="M14" s="323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</row>
    <row r="15" spans="1:70" ht="12.75" customHeight="1">
      <c r="A15" s="244"/>
      <c r="B15" s="245"/>
      <c r="C15" s="246"/>
      <c r="D15" s="308">
        <v>0</v>
      </c>
      <c r="E15" s="309"/>
      <c r="F15" s="297"/>
      <c r="G15" s="297"/>
      <c r="H15" s="301"/>
      <c r="I15" s="302"/>
      <c r="J15" s="301" t="s">
        <v>20</v>
      </c>
      <c r="K15" s="312"/>
      <c r="L15" s="290"/>
      <c r="M15" s="291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</row>
    <row r="16" spans="1:70" ht="12.75" customHeight="1">
      <c r="A16" s="247"/>
      <c r="B16" s="248"/>
      <c r="C16" s="249"/>
      <c r="D16" s="310"/>
      <c r="E16" s="311"/>
      <c r="F16" s="298"/>
      <c r="G16" s="298"/>
      <c r="H16" s="303"/>
      <c r="I16" s="304"/>
      <c r="J16" s="303"/>
      <c r="K16" s="313"/>
      <c r="L16" s="292"/>
      <c r="M16" s="293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</row>
    <row r="17" spans="1:70" ht="12.75" customHeight="1">
      <c r="A17" s="247"/>
      <c r="B17" s="248"/>
      <c r="C17" s="249"/>
      <c r="D17" s="305"/>
      <c r="E17" s="304"/>
      <c r="F17" s="299"/>
      <c r="G17" s="299"/>
      <c r="H17" s="305"/>
      <c r="I17" s="304"/>
      <c r="J17" s="305"/>
      <c r="K17" s="313"/>
      <c r="L17" s="294"/>
      <c r="M17" s="293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</row>
    <row r="18" spans="1:70" ht="12.75" customHeight="1">
      <c r="A18" s="250"/>
      <c r="B18" s="251"/>
      <c r="C18" s="252"/>
      <c r="D18" s="306"/>
      <c r="E18" s="307"/>
      <c r="F18" s="300"/>
      <c r="G18" s="300"/>
      <c r="H18" s="306"/>
      <c r="I18" s="307"/>
      <c r="J18" s="306"/>
      <c r="K18" s="314"/>
      <c r="L18" s="295"/>
      <c r="M18" s="296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</row>
    <row r="19" spans="1:70" ht="12.75" customHeight="1">
      <c r="A19" s="244"/>
      <c r="B19" s="245"/>
      <c r="C19" s="246"/>
      <c r="D19" s="308">
        <v>0</v>
      </c>
      <c r="E19" s="309"/>
      <c r="F19" s="297"/>
      <c r="G19" s="297"/>
      <c r="H19" s="301"/>
      <c r="I19" s="302"/>
      <c r="J19" s="301" t="s">
        <v>20</v>
      </c>
      <c r="K19" s="312"/>
      <c r="L19" s="290"/>
      <c r="M19" s="291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</row>
    <row r="20" spans="1:70" ht="12.75" customHeight="1">
      <c r="A20" s="247"/>
      <c r="B20" s="248"/>
      <c r="C20" s="249"/>
      <c r="D20" s="310"/>
      <c r="E20" s="311"/>
      <c r="F20" s="298"/>
      <c r="G20" s="298"/>
      <c r="H20" s="303"/>
      <c r="I20" s="304"/>
      <c r="J20" s="303"/>
      <c r="K20" s="313"/>
      <c r="L20" s="292"/>
      <c r="M20" s="293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</row>
    <row r="21" spans="1:70" ht="12.75" customHeight="1">
      <c r="A21" s="247"/>
      <c r="B21" s="248"/>
      <c r="C21" s="249"/>
      <c r="D21" s="305"/>
      <c r="E21" s="304"/>
      <c r="F21" s="299"/>
      <c r="G21" s="299"/>
      <c r="H21" s="305"/>
      <c r="I21" s="304"/>
      <c r="J21" s="305"/>
      <c r="K21" s="313"/>
      <c r="L21" s="294"/>
      <c r="M21" s="293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</row>
    <row r="22" spans="1:70" ht="12.75" customHeight="1">
      <c r="A22" s="250"/>
      <c r="B22" s="251"/>
      <c r="C22" s="252"/>
      <c r="D22" s="306"/>
      <c r="E22" s="307"/>
      <c r="F22" s="300"/>
      <c r="G22" s="300"/>
      <c r="H22" s="306"/>
      <c r="I22" s="307"/>
      <c r="J22" s="306"/>
      <c r="K22" s="314"/>
      <c r="L22" s="295"/>
      <c r="M22" s="296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</row>
    <row r="23" spans="1:70" ht="12.75" customHeight="1">
      <c r="A23" s="244"/>
      <c r="B23" s="245"/>
      <c r="C23" s="246"/>
      <c r="D23" s="308">
        <v>0</v>
      </c>
      <c r="E23" s="309"/>
      <c r="F23" s="297"/>
      <c r="G23" s="297"/>
      <c r="H23" s="301"/>
      <c r="I23" s="302"/>
      <c r="J23" s="301" t="s">
        <v>20</v>
      </c>
      <c r="K23" s="312"/>
      <c r="L23" s="290"/>
      <c r="M23" s="291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</row>
    <row r="24" spans="1:70" ht="12.75" customHeight="1">
      <c r="A24" s="247"/>
      <c r="B24" s="248"/>
      <c r="C24" s="249"/>
      <c r="D24" s="310"/>
      <c r="E24" s="311"/>
      <c r="F24" s="298"/>
      <c r="G24" s="298"/>
      <c r="H24" s="303"/>
      <c r="I24" s="304"/>
      <c r="J24" s="303"/>
      <c r="K24" s="313"/>
      <c r="L24" s="292"/>
      <c r="M24" s="293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</row>
    <row r="25" spans="1:70" ht="12.75" customHeight="1">
      <c r="A25" s="247"/>
      <c r="B25" s="248"/>
      <c r="C25" s="249"/>
      <c r="D25" s="305"/>
      <c r="E25" s="304"/>
      <c r="F25" s="299"/>
      <c r="G25" s="299"/>
      <c r="H25" s="305"/>
      <c r="I25" s="304"/>
      <c r="J25" s="305"/>
      <c r="K25" s="313"/>
      <c r="L25" s="294"/>
      <c r="M25" s="293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</row>
    <row r="26" spans="1:70" ht="12.75" customHeight="1">
      <c r="A26" s="250"/>
      <c r="B26" s="251"/>
      <c r="C26" s="252"/>
      <c r="D26" s="306"/>
      <c r="E26" s="307"/>
      <c r="F26" s="300"/>
      <c r="G26" s="300"/>
      <c r="H26" s="306"/>
      <c r="I26" s="307"/>
      <c r="J26" s="306"/>
      <c r="K26" s="314"/>
      <c r="L26" s="295"/>
      <c r="M26" s="296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</row>
    <row r="27" spans="1:70" ht="12.75" customHeight="1">
      <c r="A27" s="244"/>
      <c r="B27" s="245"/>
      <c r="C27" s="246"/>
      <c r="D27" s="308">
        <v>0</v>
      </c>
      <c r="E27" s="309"/>
      <c r="F27" s="297"/>
      <c r="G27" s="297"/>
      <c r="H27" s="301"/>
      <c r="I27" s="302"/>
      <c r="J27" s="301" t="s">
        <v>20</v>
      </c>
      <c r="K27" s="312"/>
      <c r="L27" s="290"/>
      <c r="M27" s="291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</row>
    <row r="28" spans="1:70" ht="12.75" customHeight="1">
      <c r="A28" s="247"/>
      <c r="B28" s="248"/>
      <c r="C28" s="249"/>
      <c r="D28" s="310"/>
      <c r="E28" s="311"/>
      <c r="F28" s="298"/>
      <c r="G28" s="298"/>
      <c r="H28" s="303"/>
      <c r="I28" s="304"/>
      <c r="J28" s="303"/>
      <c r="K28" s="313"/>
      <c r="L28" s="292"/>
      <c r="M28" s="293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</row>
    <row r="29" spans="1:70" ht="12.75" customHeight="1">
      <c r="A29" s="247"/>
      <c r="B29" s="248"/>
      <c r="C29" s="249"/>
      <c r="D29" s="305"/>
      <c r="E29" s="304"/>
      <c r="F29" s="299"/>
      <c r="G29" s="299"/>
      <c r="H29" s="305"/>
      <c r="I29" s="304"/>
      <c r="J29" s="305"/>
      <c r="K29" s="313"/>
      <c r="L29" s="294"/>
      <c r="M29" s="293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</row>
    <row r="30" spans="1:70" ht="12.75" customHeight="1">
      <c r="A30" s="250"/>
      <c r="B30" s="251"/>
      <c r="C30" s="252"/>
      <c r="D30" s="306"/>
      <c r="E30" s="307"/>
      <c r="F30" s="300"/>
      <c r="G30" s="300"/>
      <c r="H30" s="306"/>
      <c r="I30" s="307"/>
      <c r="J30" s="306"/>
      <c r="K30" s="314"/>
      <c r="L30" s="295"/>
      <c r="M30" s="296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</row>
    <row r="31" spans="1:70" ht="12.75" customHeight="1">
      <c r="A31" s="244"/>
      <c r="B31" s="245"/>
      <c r="C31" s="246"/>
      <c r="D31" s="308">
        <v>0</v>
      </c>
      <c r="E31" s="309"/>
      <c r="F31" s="297"/>
      <c r="G31" s="297"/>
      <c r="H31" s="301"/>
      <c r="I31" s="302"/>
      <c r="J31" s="301" t="s">
        <v>20</v>
      </c>
      <c r="K31" s="312"/>
      <c r="L31" s="290"/>
      <c r="M31" s="291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</row>
    <row r="32" spans="1:70" ht="12.75" customHeight="1">
      <c r="A32" s="247"/>
      <c r="B32" s="248"/>
      <c r="C32" s="249"/>
      <c r="D32" s="310"/>
      <c r="E32" s="311"/>
      <c r="F32" s="298"/>
      <c r="G32" s="298"/>
      <c r="H32" s="303"/>
      <c r="I32" s="304"/>
      <c r="J32" s="303"/>
      <c r="K32" s="313"/>
      <c r="L32" s="292"/>
      <c r="M32" s="293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</row>
    <row r="33" spans="1:70" ht="12.75" customHeight="1">
      <c r="A33" s="247"/>
      <c r="B33" s="248"/>
      <c r="C33" s="249"/>
      <c r="D33" s="305"/>
      <c r="E33" s="304"/>
      <c r="F33" s="299"/>
      <c r="G33" s="299"/>
      <c r="H33" s="305"/>
      <c r="I33" s="304"/>
      <c r="J33" s="305"/>
      <c r="K33" s="313"/>
      <c r="L33" s="294"/>
      <c r="M33" s="293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</row>
    <row r="34" spans="1:70" ht="12.75" customHeight="1">
      <c r="A34" s="250"/>
      <c r="B34" s="251"/>
      <c r="C34" s="252"/>
      <c r="D34" s="306"/>
      <c r="E34" s="307"/>
      <c r="F34" s="300"/>
      <c r="G34" s="300"/>
      <c r="H34" s="306"/>
      <c r="I34" s="307"/>
      <c r="J34" s="306"/>
      <c r="K34" s="314"/>
      <c r="L34" s="295"/>
      <c r="M34" s="296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</row>
    <row r="35" spans="1:70" ht="12.75" customHeight="1">
      <c r="A35" s="244"/>
      <c r="B35" s="245"/>
      <c r="C35" s="246"/>
      <c r="D35" s="308">
        <v>0</v>
      </c>
      <c r="E35" s="309"/>
      <c r="F35" s="297"/>
      <c r="G35" s="297"/>
      <c r="H35" s="301"/>
      <c r="I35" s="302"/>
      <c r="J35" s="301" t="s">
        <v>20</v>
      </c>
      <c r="K35" s="312"/>
      <c r="L35" s="290"/>
      <c r="M35" s="291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</row>
    <row r="36" spans="1:70" ht="12.75" customHeight="1">
      <c r="A36" s="247"/>
      <c r="B36" s="248"/>
      <c r="C36" s="249"/>
      <c r="D36" s="310"/>
      <c r="E36" s="311"/>
      <c r="F36" s="298"/>
      <c r="G36" s="298"/>
      <c r="H36" s="303"/>
      <c r="I36" s="304"/>
      <c r="J36" s="303"/>
      <c r="K36" s="313"/>
      <c r="L36" s="292"/>
      <c r="M36" s="293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</row>
    <row r="37" spans="1:70" ht="12.75" customHeight="1">
      <c r="A37" s="247"/>
      <c r="B37" s="248"/>
      <c r="C37" s="249"/>
      <c r="D37" s="305"/>
      <c r="E37" s="304"/>
      <c r="F37" s="299"/>
      <c r="G37" s="299"/>
      <c r="H37" s="305"/>
      <c r="I37" s="304"/>
      <c r="J37" s="305"/>
      <c r="K37" s="313"/>
      <c r="L37" s="294"/>
      <c r="M37" s="293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</row>
    <row r="38" spans="1:70" ht="12.75" customHeight="1">
      <c r="A38" s="250"/>
      <c r="B38" s="251"/>
      <c r="C38" s="252"/>
      <c r="D38" s="306"/>
      <c r="E38" s="307"/>
      <c r="F38" s="300"/>
      <c r="G38" s="300"/>
      <c r="H38" s="306"/>
      <c r="I38" s="307"/>
      <c r="J38" s="306"/>
      <c r="K38" s="314"/>
      <c r="L38" s="295"/>
      <c r="M38" s="296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</row>
    <row r="39" spans="1:70" ht="12.75" customHeight="1">
      <c r="A39" s="244"/>
      <c r="B39" s="245"/>
      <c r="C39" s="246"/>
      <c r="D39" s="308">
        <v>0</v>
      </c>
      <c r="E39" s="309"/>
      <c r="F39" s="297"/>
      <c r="G39" s="297"/>
      <c r="H39" s="301"/>
      <c r="I39" s="302"/>
      <c r="J39" s="301" t="s">
        <v>20</v>
      </c>
      <c r="K39" s="312"/>
      <c r="L39" s="290"/>
      <c r="M39" s="291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</row>
    <row r="40" spans="1:70" ht="12.75" customHeight="1">
      <c r="A40" s="247"/>
      <c r="B40" s="248"/>
      <c r="C40" s="249"/>
      <c r="D40" s="310"/>
      <c r="E40" s="311"/>
      <c r="F40" s="298"/>
      <c r="G40" s="298"/>
      <c r="H40" s="303"/>
      <c r="I40" s="304"/>
      <c r="J40" s="303"/>
      <c r="K40" s="313"/>
      <c r="L40" s="292"/>
      <c r="M40" s="293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</row>
    <row r="41" spans="1:70" ht="12.75" customHeight="1">
      <c r="A41" s="247"/>
      <c r="B41" s="248"/>
      <c r="C41" s="249"/>
      <c r="D41" s="305"/>
      <c r="E41" s="304"/>
      <c r="F41" s="299"/>
      <c r="G41" s="299"/>
      <c r="H41" s="305"/>
      <c r="I41" s="304"/>
      <c r="J41" s="305"/>
      <c r="K41" s="313"/>
      <c r="L41" s="294"/>
      <c r="M41" s="293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</row>
    <row r="42" spans="1:70" ht="12.75" customHeight="1">
      <c r="A42" s="250"/>
      <c r="B42" s="251"/>
      <c r="C42" s="252"/>
      <c r="D42" s="306"/>
      <c r="E42" s="307"/>
      <c r="F42" s="300"/>
      <c r="G42" s="300"/>
      <c r="H42" s="306"/>
      <c r="I42" s="307"/>
      <c r="J42" s="306"/>
      <c r="K42" s="314"/>
      <c r="L42" s="295"/>
      <c r="M42" s="296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</row>
    <row r="43" spans="1:70" ht="12.75" customHeight="1">
      <c r="A43" s="244"/>
      <c r="B43" s="245"/>
      <c r="C43" s="246"/>
      <c r="D43" s="468">
        <v>0</v>
      </c>
      <c r="E43" s="468"/>
      <c r="F43" s="297"/>
      <c r="G43" s="297"/>
      <c r="H43" s="301"/>
      <c r="I43" s="302"/>
      <c r="J43" s="301" t="s">
        <v>20</v>
      </c>
      <c r="K43" s="312"/>
      <c r="L43" s="290"/>
      <c r="M43" s="291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</row>
    <row r="44" spans="1:70" ht="12.75" customHeight="1">
      <c r="A44" s="244"/>
      <c r="B44" s="245"/>
      <c r="C44" s="246"/>
      <c r="D44" s="469"/>
      <c r="E44" s="469"/>
      <c r="F44" s="298"/>
      <c r="G44" s="298"/>
      <c r="H44" s="303"/>
      <c r="I44" s="304"/>
      <c r="J44" s="303"/>
      <c r="K44" s="313"/>
      <c r="L44" s="292"/>
      <c r="M44" s="293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</row>
    <row r="45" spans="1:70" ht="12.75" customHeight="1">
      <c r="A45" s="247"/>
      <c r="B45" s="248"/>
      <c r="C45" s="249"/>
      <c r="D45" s="469"/>
      <c r="E45" s="469"/>
      <c r="F45" s="299"/>
      <c r="G45" s="299"/>
      <c r="H45" s="305"/>
      <c r="I45" s="304"/>
      <c r="J45" s="305"/>
      <c r="K45" s="313"/>
      <c r="L45" s="294"/>
      <c r="M45" s="293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</row>
    <row r="46" spans="1:70" ht="12.75" customHeight="1">
      <c r="A46" s="247"/>
      <c r="B46" s="248"/>
      <c r="C46" s="249"/>
      <c r="D46" s="469"/>
      <c r="E46" s="469"/>
      <c r="F46" s="300"/>
      <c r="G46" s="300"/>
      <c r="H46" s="306"/>
      <c r="I46" s="307"/>
      <c r="J46" s="306"/>
      <c r="K46" s="314"/>
      <c r="L46" s="295"/>
      <c r="M46" s="296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</row>
    <row r="47" spans="1:70" ht="12.75" customHeight="1" thickBot="1">
      <c r="A47" s="250"/>
      <c r="B47" s="251"/>
      <c r="C47" s="252"/>
      <c r="D47" s="469"/>
      <c r="E47" s="469"/>
      <c r="F47" s="227"/>
      <c r="G47" s="253"/>
      <c r="H47" s="216"/>
      <c r="I47" s="217"/>
      <c r="J47" s="254"/>
      <c r="K47" s="254"/>
      <c r="L47" s="254"/>
      <c r="M47" s="24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</row>
    <row r="48" spans="1:70" ht="15" customHeight="1" thickBot="1">
      <c r="A48" s="23"/>
      <c r="B48" s="29" t="s">
        <v>160</v>
      </c>
      <c r="C48" s="2"/>
      <c r="D48" s="226">
        <f>MIN(D24:E46)</f>
        <v>0</v>
      </c>
      <c r="E48" s="228"/>
      <c r="F48" s="35" t="s">
        <v>161</v>
      </c>
      <c r="G48" s="288">
        <f>(SUM(G15:G46))*D48</f>
        <v>0</v>
      </c>
      <c r="H48" s="2"/>
      <c r="I48" s="2"/>
      <c r="J48" s="2"/>
      <c r="K48" s="2"/>
      <c r="L48" s="2"/>
      <c r="M48" s="225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</row>
    <row r="49" spans="1:70" ht="15" customHeight="1" thickBot="1">
      <c r="A49" s="23"/>
      <c r="B49" s="29" t="s">
        <v>162</v>
      </c>
      <c r="C49" s="2"/>
      <c r="D49" s="286">
        <f>AVERAGE(D24:E46)</f>
        <v>0</v>
      </c>
      <c r="E49" s="4"/>
      <c r="F49" s="2"/>
      <c r="G49" s="2"/>
      <c r="H49" s="33"/>
      <c r="I49" s="33"/>
      <c r="J49" s="2"/>
      <c r="K49" s="2"/>
      <c r="L49" s="2"/>
      <c r="M49" s="24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</row>
    <row r="50" spans="1:70" ht="15" customHeight="1" thickBot="1">
      <c r="A50" s="23"/>
      <c r="B50" s="29"/>
      <c r="C50" s="2"/>
      <c r="D50" s="226">
        <f>MAX(D24:E46)</f>
        <v>0</v>
      </c>
      <c r="E50" s="4"/>
      <c r="F50" s="35"/>
      <c r="G50" s="33"/>
      <c r="H50" s="33"/>
      <c r="I50" s="33"/>
      <c r="J50" s="2"/>
      <c r="K50" s="2"/>
      <c r="L50" s="2"/>
      <c r="M50" s="24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</row>
    <row r="51" spans="1:70" s="34" customFormat="1" ht="15" customHeight="1">
      <c r="A51" s="36" t="s">
        <v>163</v>
      </c>
      <c r="B51" s="37"/>
      <c r="C51" s="38" t="s">
        <v>164</v>
      </c>
      <c r="D51" s="32"/>
      <c r="E51" s="4"/>
      <c r="F51" s="28"/>
      <c r="G51" s="33"/>
      <c r="H51" s="33"/>
      <c r="I51" s="33"/>
      <c r="J51" s="2"/>
      <c r="K51" s="2"/>
      <c r="L51" s="2"/>
      <c r="M51" s="24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</row>
    <row r="52" spans="1:70" ht="14.4" customHeight="1" thickBot="1">
      <c r="A52" s="25"/>
      <c r="B52" s="26"/>
      <c r="C52" s="27"/>
      <c r="D52" s="223"/>
      <c r="E52" s="223"/>
      <c r="F52" s="223"/>
      <c r="G52" s="223"/>
      <c r="H52" s="223"/>
      <c r="I52" s="223"/>
      <c r="J52" s="223"/>
      <c r="K52" s="223"/>
      <c r="L52" s="223"/>
      <c r="M52" s="224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</row>
    <row r="53" spans="1:70" ht="4.5" customHeight="1">
      <c r="A53" s="1"/>
      <c r="B53" s="1"/>
      <c r="C53" s="1"/>
      <c r="D53" s="3"/>
      <c r="E53" s="3"/>
      <c r="F53" s="1"/>
      <c r="G53" s="1"/>
      <c r="H53" s="1"/>
      <c r="I53" s="1"/>
      <c r="J53" s="1"/>
      <c r="K53" s="1"/>
      <c r="L53" s="1"/>
      <c r="M53" s="1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</row>
    <row r="54" spans="1:70" ht="12.75" customHeight="1"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</row>
    <row r="55" spans="1:70"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</row>
    <row r="56" spans="1:70"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</row>
    <row r="57" spans="1:70"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</row>
    <row r="58" spans="1:70"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</row>
    <row r="59" spans="1:70"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</row>
    <row r="60" spans="1:70"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</row>
    <row r="61" spans="1:70"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</row>
    <row r="62" spans="1:70"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</row>
    <row r="63" spans="1:70"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</row>
    <row r="64" spans="1:70"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</row>
    <row r="65" spans="35:70"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</row>
    <row r="66" spans="35:70"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</row>
    <row r="67" spans="35:70"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</row>
    <row r="68" spans="35:70"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</row>
    <row r="69" spans="35:70"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</row>
    <row r="70" spans="35:70"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</row>
    <row r="71" spans="35:70"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</row>
    <row r="72" spans="35:70"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</row>
    <row r="73" spans="35:70"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</row>
    <row r="74" spans="35:70"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</row>
    <row r="75" spans="35:70"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</row>
    <row r="76" spans="35:70"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</row>
    <row r="77" spans="35:70"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</row>
    <row r="78" spans="35:70"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</row>
    <row r="79" spans="35:70"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</row>
    <row r="80" spans="35:70"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</row>
    <row r="81" spans="35:70"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</row>
    <row r="82" spans="35:70"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</row>
    <row r="83" spans="35:70"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</row>
    <row r="84" spans="35:70"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</row>
    <row r="85" spans="35:70"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</row>
    <row r="86" spans="35:70"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</row>
    <row r="87" spans="35:70"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</row>
    <row r="88" spans="35:70"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</row>
    <row r="89" spans="35:70"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</row>
    <row r="90" spans="35:70"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</row>
    <row r="91" spans="35:70"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</row>
    <row r="92" spans="35:70"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</row>
    <row r="93" spans="35:70"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</row>
    <row r="94" spans="35:70"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</row>
    <row r="95" spans="35:70"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</row>
    <row r="96" spans="35:70"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</row>
    <row r="97" spans="35:70"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</row>
    <row r="98" spans="35:70"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</row>
    <row r="99" spans="35:70"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</row>
    <row r="100" spans="35:70"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</row>
    <row r="101" spans="35:70"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</row>
    <row r="102" spans="35:70"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</row>
    <row r="103" spans="35:70"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</row>
    <row r="104" spans="35:70"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</row>
    <row r="105" spans="35:70"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</row>
    <row r="106" spans="35:70"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</row>
    <row r="107" spans="35:70"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</row>
    <row r="108" spans="35:70"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</row>
    <row r="109" spans="35:70"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</row>
    <row r="110" spans="35:70"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</row>
    <row r="111" spans="35:70"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</row>
    <row r="112" spans="35:70"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</row>
    <row r="113" spans="35:70"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</row>
    <row r="114" spans="35:70"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</row>
    <row r="115" spans="35:70"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</row>
    <row r="116" spans="35:70"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</row>
    <row r="117" spans="35:70"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</row>
    <row r="118" spans="35:70"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</row>
    <row r="119" spans="35:70"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</row>
    <row r="120" spans="35:70"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</row>
    <row r="121" spans="35:70"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</row>
    <row r="122" spans="35:70"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</row>
    <row r="123" spans="35:70"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</row>
    <row r="124" spans="35:70"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</row>
    <row r="125" spans="35:70"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</row>
    <row r="126" spans="35:70"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</row>
    <row r="127" spans="35:70"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</row>
    <row r="128" spans="35:70"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</row>
    <row r="129" spans="35:70"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</row>
    <row r="130" spans="35:70"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</row>
    <row r="131" spans="35:70"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</row>
    <row r="132" spans="35:70"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</row>
    <row r="133" spans="35:70"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</row>
    <row r="134" spans="35:70"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</row>
    <row r="135" spans="35:70"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</row>
    <row r="136" spans="35:70"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</row>
    <row r="137" spans="35:70"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</row>
    <row r="138" spans="35:70"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</row>
    <row r="139" spans="35:70"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</row>
    <row r="140" spans="35:70"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</row>
    <row r="141" spans="35:70"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</row>
    <row r="142" spans="35:70"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</row>
    <row r="143" spans="35:70"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</row>
    <row r="144" spans="35:70"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</row>
    <row r="145" spans="35:70"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</row>
    <row r="146" spans="35:70"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</row>
    <row r="147" spans="35:70"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</row>
    <row r="148" spans="35:70"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</row>
    <row r="149" spans="35:70"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</row>
    <row r="150" spans="35:70"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</row>
    <row r="151" spans="35:70"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</row>
    <row r="152" spans="35:70"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</row>
    <row r="153" spans="35:70"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</row>
    <row r="154" spans="35:70"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</row>
    <row r="155" spans="35:70"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</row>
    <row r="156" spans="35:70"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</row>
    <row r="157" spans="35:70"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</row>
    <row r="158" spans="35:70"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</row>
    <row r="159" spans="35:70"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</row>
    <row r="160" spans="35:70"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</row>
    <row r="161" spans="35:70"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</row>
    <row r="162" spans="35:70"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</row>
    <row r="163" spans="35:70"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</row>
    <row r="164" spans="35:70"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</row>
    <row r="165" spans="35:70"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</row>
    <row r="166" spans="35:70"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</row>
    <row r="167" spans="35:70"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</row>
    <row r="168" spans="35:70"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</row>
    <row r="169" spans="35:70"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</row>
    <row r="170" spans="35:70"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</row>
    <row r="171" spans="35:70"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</row>
    <row r="172" spans="35:70"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</row>
    <row r="173" spans="35:70"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</row>
    <row r="174" spans="35:70"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</row>
    <row r="175" spans="35:70"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</row>
  </sheetData>
  <mergeCells count="59">
    <mergeCell ref="A1:B4"/>
    <mergeCell ref="C1:I4"/>
    <mergeCell ref="J1:M4"/>
    <mergeCell ref="C6:I6"/>
    <mergeCell ref="D11:E14"/>
    <mergeCell ref="F11:F14"/>
    <mergeCell ref="G11:G14"/>
    <mergeCell ref="H11:I14"/>
    <mergeCell ref="J11:M11"/>
    <mergeCell ref="J12:K14"/>
    <mergeCell ref="L19:M22"/>
    <mergeCell ref="L12:M14"/>
    <mergeCell ref="D15:E18"/>
    <mergeCell ref="F15:F18"/>
    <mergeCell ref="G15:G18"/>
    <mergeCell ref="H15:I18"/>
    <mergeCell ref="J15:K18"/>
    <mergeCell ref="L15:M18"/>
    <mergeCell ref="D19:E22"/>
    <mergeCell ref="F19:F22"/>
    <mergeCell ref="G19:G22"/>
    <mergeCell ref="H19:I22"/>
    <mergeCell ref="J19:K22"/>
    <mergeCell ref="L27:M30"/>
    <mergeCell ref="D23:E26"/>
    <mergeCell ref="F23:F26"/>
    <mergeCell ref="G23:G26"/>
    <mergeCell ref="H23:I26"/>
    <mergeCell ref="J23:K26"/>
    <mergeCell ref="L23:M26"/>
    <mergeCell ref="D27:E30"/>
    <mergeCell ref="F27:F30"/>
    <mergeCell ref="G27:G30"/>
    <mergeCell ref="H27:I30"/>
    <mergeCell ref="J27:K30"/>
    <mergeCell ref="L35:M38"/>
    <mergeCell ref="D31:E34"/>
    <mergeCell ref="F31:F34"/>
    <mergeCell ref="G31:G34"/>
    <mergeCell ref="H31:I34"/>
    <mergeCell ref="J31:K34"/>
    <mergeCell ref="L31:M34"/>
    <mergeCell ref="D35:E38"/>
    <mergeCell ref="F35:F38"/>
    <mergeCell ref="G35:G38"/>
    <mergeCell ref="H35:I38"/>
    <mergeCell ref="J35:K38"/>
    <mergeCell ref="L43:M46"/>
    <mergeCell ref="D39:E42"/>
    <mergeCell ref="F39:F42"/>
    <mergeCell ref="G39:G42"/>
    <mergeCell ref="H39:I42"/>
    <mergeCell ref="J39:K42"/>
    <mergeCell ref="L39:M42"/>
    <mergeCell ref="F43:F46"/>
    <mergeCell ref="G43:G46"/>
    <mergeCell ref="H43:I46"/>
    <mergeCell ref="J43:K46"/>
    <mergeCell ref="D43:E47"/>
  </mergeCells>
  <conditionalFormatting sqref="D15:E42 D43">
    <cfRule type="cellIs" dxfId="11" priority="1" operator="greaterThan">
      <formula>"0.5"</formula>
    </cfRule>
    <cfRule type="cellIs" dxfId="10" priority="2" operator="between">
      <formula>"0.1"</formula>
      <formula>"0.5"</formula>
    </cfRule>
    <cfRule type="cellIs" dxfId="9" priority="3" operator="equal">
      <formula>0</formula>
    </cfRule>
  </conditionalFormatting>
  <printOptions horizontalCentered="1" verticalCentered="1"/>
  <pageMargins left="0.27559055118110237" right="0.19685039370078741" top="0.43307086614173229" bottom="0.43307086614173229" header="0.31496062992125984" footer="0.39370078740157483"/>
  <pageSetup paperSize="9" orientation="portrait" horizontalDpi="1200" verticalDpi="1200" r:id="rId1"/>
  <headerFooter alignWithMargins="0">
    <oddHeader>&amp;LPI 3010 Enclosure 1(a) / 09.24</oddHeader>
    <oddFooter xml:space="preserve"><![CDATA[&L_x000D_&1#&"Arial"&10&K000000 [Internal]&R&",Standard"&7    ]]></oddFooter>
  </headerFooter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6C7D3B-D46F-4A74-855D-24D66CE60028}">
  <sheetPr>
    <pageSetUpPr fitToPage="1"/>
  </sheetPr>
  <dimension ref="A1:BR175"/>
  <sheetViews>
    <sheetView showGridLines="0" topLeftCell="A3" zoomScale="145" zoomScaleNormal="145" zoomScaleSheetLayoutView="115" zoomScalePageLayoutView="85" workbookViewId="0">
      <selection activeCell="P42" sqref="P42"/>
    </sheetView>
  </sheetViews>
  <sheetFormatPr baseColWidth="10" defaultColWidth="11.44140625" defaultRowHeight="12.6"/>
  <cols>
    <col min="1" max="1" customWidth="true" style="2" width="13.33203125"/>
    <col min="2" max="2" customWidth="true" style="2" width="11.5546875"/>
    <col min="3" max="3" customWidth="true" style="2" width="6.33203125"/>
    <col min="4" max="4" customWidth="true" style="4" width="5.5546875"/>
    <col min="5" max="5" customWidth="true" style="4" width="5.6640625"/>
    <col min="6" max="7" customWidth="true" style="2" width="10.6640625"/>
    <col min="8" max="13" customWidth="true" style="2" width="5.5546875"/>
    <col min="14" max="16384" style="2" width="11.44140625"/>
  </cols>
  <sheetData>
    <row r="1" spans="1:70" ht="7.95" customHeight="1">
      <c r="A1" s="325"/>
      <c r="B1" s="326"/>
      <c r="C1" s="331" t="s">
        <v>144</v>
      </c>
      <c r="D1" s="332"/>
      <c r="E1" s="332"/>
      <c r="F1" s="332"/>
      <c r="G1" s="332"/>
      <c r="H1" s="332"/>
      <c r="I1" s="333"/>
      <c r="J1" s="340" t="s">
        <v>211</v>
      </c>
      <c r="K1" s="341"/>
      <c r="L1" s="341"/>
      <c r="M1" s="34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</row>
    <row r="2" spans="1:70" s="30" customFormat="1" ht="15" customHeight="1">
      <c r="A2" s="327"/>
      <c r="B2" s="328"/>
      <c r="C2" s="334"/>
      <c r="D2" s="335"/>
      <c r="E2" s="335"/>
      <c r="F2" s="335"/>
      <c r="G2" s="335"/>
      <c r="H2" s="335"/>
      <c r="I2" s="336"/>
      <c r="J2" s="343"/>
      <c r="K2" s="344"/>
      <c r="L2" s="344"/>
      <c r="M2" s="345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</row>
    <row r="3" spans="1:70" s="30" customFormat="1" ht="17.100000000000001" customHeight="1">
      <c r="A3" s="327"/>
      <c r="B3" s="328"/>
      <c r="C3" s="334"/>
      <c r="D3" s="335"/>
      <c r="E3" s="335"/>
      <c r="F3" s="335"/>
      <c r="G3" s="335"/>
      <c r="H3" s="335"/>
      <c r="I3" s="336"/>
      <c r="J3" s="343"/>
      <c r="K3" s="344"/>
      <c r="L3" s="344"/>
      <c r="M3" s="345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</row>
    <row r="4" spans="1:70" s="30" customFormat="1" ht="14.1" customHeight="1" thickBot="1">
      <c r="A4" s="329"/>
      <c r="B4" s="330"/>
      <c r="C4" s="337"/>
      <c r="D4" s="338"/>
      <c r="E4" s="338"/>
      <c r="F4" s="338"/>
      <c r="G4" s="338"/>
      <c r="H4" s="338"/>
      <c r="I4" s="339"/>
      <c r="J4" s="346"/>
      <c r="K4" s="347"/>
      <c r="L4" s="347"/>
      <c r="M4" s="348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</row>
    <row r="5" spans="1:70" ht="6.75" customHeight="1">
      <c r="A5" s="20"/>
      <c r="B5" s="5"/>
      <c r="C5" s="5"/>
      <c r="D5" s="6"/>
      <c r="E5" s="6"/>
      <c r="F5" s="5"/>
      <c r="G5" s="5"/>
      <c r="H5" s="5"/>
      <c r="I5" s="5"/>
      <c r="J5" s="5"/>
      <c r="K5" s="5"/>
      <c r="L5" s="5"/>
      <c r="M5" s="17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</row>
    <row r="6" spans="1:70" ht="17.399999999999999">
      <c r="A6" s="21"/>
      <c r="B6" s="13"/>
      <c r="C6" s="349" t="s">
        <v>145</v>
      </c>
      <c r="D6" s="349"/>
      <c r="E6" s="349"/>
      <c r="F6" s="349"/>
      <c r="G6" s="349"/>
      <c r="H6" s="349"/>
      <c r="I6" s="349"/>
      <c r="J6" s="258"/>
      <c r="L6" s="13"/>
      <c r="M6" s="18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</row>
    <row r="7" spans="1:70" ht="6" customHeight="1">
      <c r="A7" s="16"/>
      <c r="B7" s="7"/>
      <c r="C7" s="7"/>
      <c r="D7" s="8"/>
      <c r="E7" s="9"/>
      <c r="F7" s="10"/>
      <c r="G7" s="7"/>
      <c r="H7" s="7"/>
      <c r="I7" s="7"/>
      <c r="J7" s="7"/>
      <c r="K7" s="7"/>
      <c r="L7" s="7"/>
      <c r="M7" s="19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</row>
    <row r="8" spans="1:70" ht="12.75" customHeight="1">
      <c r="A8" s="20" t="s">
        <v>146</v>
      </c>
      <c r="B8" s="259"/>
      <c r="C8" s="10"/>
      <c r="D8" s="14"/>
      <c r="F8" s="15" t="s">
        <v>147</v>
      </c>
      <c r="G8" s="5"/>
      <c r="H8" s="5"/>
      <c r="I8" s="5"/>
      <c r="J8" s="10"/>
      <c r="K8" s="11"/>
      <c r="L8" s="12"/>
      <c r="M8" s="17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</row>
    <row r="9" spans="1:70" ht="12.75" customHeight="1">
      <c r="A9" s="21"/>
      <c r="B9" s="259"/>
      <c r="C9" s="10"/>
      <c r="D9" s="14"/>
      <c r="F9" s="15"/>
      <c r="G9" s="5"/>
      <c r="H9" s="5"/>
      <c r="I9" s="5"/>
      <c r="J9" s="10"/>
      <c r="K9" s="11"/>
      <c r="L9" s="12"/>
      <c r="M9" s="17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</row>
    <row r="10" spans="1:70" ht="6.75" customHeight="1" thickBot="1">
      <c r="A10" s="16"/>
      <c r="B10" s="5"/>
      <c r="C10" s="5"/>
      <c r="D10" s="6"/>
      <c r="E10" s="6"/>
      <c r="F10" s="12"/>
      <c r="G10" s="5"/>
      <c r="H10" s="5"/>
      <c r="I10" s="5"/>
      <c r="J10" s="5"/>
      <c r="K10" s="5"/>
      <c r="L10" s="5"/>
      <c r="M10" s="17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</row>
    <row r="11" spans="1:70" ht="12.75" customHeight="1" thickBot="1">
      <c r="A11" s="235" t="s">
        <v>148</v>
      </c>
      <c r="B11" s="236"/>
      <c r="C11" s="237"/>
      <c r="D11" s="350" t="s">
        <v>149</v>
      </c>
      <c r="E11" s="351"/>
      <c r="F11" s="356" t="s">
        <v>150</v>
      </c>
      <c r="G11" s="356" t="s">
        <v>151</v>
      </c>
      <c r="H11" s="359" t="s">
        <v>152</v>
      </c>
      <c r="I11" s="360"/>
      <c r="J11" s="365" t="s">
        <v>153</v>
      </c>
      <c r="K11" s="366"/>
      <c r="L11" s="366"/>
      <c r="M11" s="367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</row>
    <row r="12" spans="1:70" ht="12.75" customHeight="1">
      <c r="A12" s="238" t="s">
        <v>154</v>
      </c>
      <c r="B12" s="239"/>
      <c r="C12" s="240"/>
      <c r="D12" s="352"/>
      <c r="E12" s="353"/>
      <c r="F12" s="357"/>
      <c r="G12" s="357"/>
      <c r="H12" s="361"/>
      <c r="I12" s="362"/>
      <c r="J12" s="359" t="s">
        <v>155</v>
      </c>
      <c r="K12" s="360"/>
      <c r="L12" s="320" t="s">
        <v>156</v>
      </c>
      <c r="M12" s="321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</row>
    <row r="13" spans="1:70" ht="12.75" customHeight="1">
      <c r="A13" s="238" t="s">
        <v>157</v>
      </c>
      <c r="B13" s="239"/>
      <c r="C13" s="240"/>
      <c r="D13" s="352"/>
      <c r="E13" s="353"/>
      <c r="F13" s="357"/>
      <c r="G13" s="357"/>
      <c r="H13" s="361"/>
      <c r="I13" s="362"/>
      <c r="J13" s="368"/>
      <c r="K13" s="369"/>
      <c r="L13" s="322"/>
      <c r="M13" s="323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</row>
    <row r="14" spans="1:70" ht="12.75" customHeight="1">
      <c r="A14" s="241" t="s">
        <v>158</v>
      </c>
      <c r="B14" s="242"/>
      <c r="C14" s="243"/>
      <c r="D14" s="354"/>
      <c r="E14" s="355"/>
      <c r="F14" s="358"/>
      <c r="G14" s="358"/>
      <c r="H14" s="363"/>
      <c r="I14" s="364"/>
      <c r="J14" s="361"/>
      <c r="K14" s="369"/>
      <c r="L14" s="324"/>
      <c r="M14" s="323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</row>
    <row r="15" spans="1:70" ht="12.75" customHeight="1">
      <c r="A15" s="244"/>
      <c r="B15" s="245"/>
      <c r="C15" s="246"/>
      <c r="D15" s="308">
        <v>0</v>
      </c>
      <c r="E15" s="309"/>
      <c r="F15" s="316"/>
      <c r="G15" s="315"/>
      <c r="H15" s="308"/>
      <c r="I15" s="302"/>
      <c r="J15" s="301" t="s">
        <v>20</v>
      </c>
      <c r="K15" s="312"/>
      <c r="L15" s="290"/>
      <c r="M15" s="291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</row>
    <row r="16" spans="1:70" ht="12.75" customHeight="1">
      <c r="A16" s="247"/>
      <c r="B16" s="248"/>
      <c r="C16" s="249"/>
      <c r="D16" s="310"/>
      <c r="E16" s="311"/>
      <c r="F16" s="317"/>
      <c r="G16" s="298"/>
      <c r="H16" s="303"/>
      <c r="I16" s="304"/>
      <c r="J16" s="303"/>
      <c r="K16" s="313"/>
      <c r="L16" s="292"/>
      <c r="M16" s="293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</row>
    <row r="17" spans="1:70" ht="12.75" customHeight="1">
      <c r="A17" s="247"/>
      <c r="B17" s="248"/>
      <c r="C17" s="249"/>
      <c r="D17" s="305"/>
      <c r="E17" s="304"/>
      <c r="F17" s="318"/>
      <c r="G17" s="299"/>
      <c r="H17" s="305"/>
      <c r="I17" s="304"/>
      <c r="J17" s="305"/>
      <c r="K17" s="313"/>
      <c r="L17" s="294"/>
      <c r="M17" s="293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</row>
    <row r="18" spans="1:70" ht="12.75" customHeight="1">
      <c r="A18" s="250"/>
      <c r="B18" s="251"/>
      <c r="C18" s="252"/>
      <c r="D18" s="306"/>
      <c r="E18" s="307"/>
      <c r="F18" s="319"/>
      <c r="G18" s="300"/>
      <c r="H18" s="306"/>
      <c r="I18" s="307"/>
      <c r="J18" s="306"/>
      <c r="K18" s="314"/>
      <c r="L18" s="295"/>
      <c r="M18" s="296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</row>
    <row r="19" spans="1:70" ht="12.75" customHeight="1">
      <c r="A19" s="244"/>
      <c r="B19" s="245"/>
      <c r="C19" s="246"/>
      <c r="D19" s="308">
        <v>0</v>
      </c>
      <c r="E19" s="309"/>
      <c r="F19" s="316"/>
      <c r="G19" s="315"/>
      <c r="H19" s="308"/>
      <c r="I19" s="302"/>
      <c r="J19" s="301" t="s">
        <v>20</v>
      </c>
      <c r="K19" s="312"/>
      <c r="L19" s="290"/>
      <c r="M19" s="291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</row>
    <row r="20" spans="1:70" ht="12.75" customHeight="1">
      <c r="A20" s="247"/>
      <c r="B20" s="248"/>
      <c r="C20" s="249"/>
      <c r="D20" s="310"/>
      <c r="E20" s="311"/>
      <c r="F20" s="317"/>
      <c r="G20" s="298"/>
      <c r="H20" s="303"/>
      <c r="I20" s="304"/>
      <c r="J20" s="303"/>
      <c r="K20" s="313"/>
      <c r="L20" s="292"/>
      <c r="M20" s="293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</row>
    <row r="21" spans="1:70" ht="12.75" customHeight="1">
      <c r="A21" s="247"/>
      <c r="B21" s="248"/>
      <c r="C21" s="249"/>
      <c r="D21" s="305"/>
      <c r="E21" s="304"/>
      <c r="F21" s="318"/>
      <c r="G21" s="299"/>
      <c r="H21" s="305"/>
      <c r="I21" s="304"/>
      <c r="J21" s="305"/>
      <c r="K21" s="313"/>
      <c r="L21" s="294"/>
      <c r="M21" s="293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</row>
    <row r="22" spans="1:70" ht="12.75" customHeight="1">
      <c r="A22" s="250"/>
      <c r="B22" s="251"/>
      <c r="C22" s="252"/>
      <c r="D22" s="306"/>
      <c r="E22" s="307"/>
      <c r="F22" s="319"/>
      <c r="G22" s="300"/>
      <c r="H22" s="306"/>
      <c r="I22" s="307"/>
      <c r="J22" s="306"/>
      <c r="K22" s="314"/>
      <c r="L22" s="295"/>
      <c r="M22" s="296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</row>
    <row r="23" spans="1:70" ht="12.75" customHeight="1">
      <c r="A23" s="244"/>
      <c r="B23" s="245"/>
      <c r="C23" s="246"/>
      <c r="D23" s="308">
        <v>0</v>
      </c>
      <c r="E23" s="309"/>
      <c r="F23" s="316"/>
      <c r="G23" s="315"/>
      <c r="H23" s="308"/>
      <c r="I23" s="302"/>
      <c r="J23" s="301" t="s">
        <v>20</v>
      </c>
      <c r="K23" s="312"/>
      <c r="L23" s="290"/>
      <c r="M23" s="291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</row>
    <row r="24" spans="1:70" ht="12.75" customHeight="1">
      <c r="A24" s="247"/>
      <c r="B24" s="248"/>
      <c r="C24" s="249"/>
      <c r="D24" s="310"/>
      <c r="E24" s="311"/>
      <c r="F24" s="317"/>
      <c r="G24" s="298"/>
      <c r="H24" s="303"/>
      <c r="I24" s="304"/>
      <c r="J24" s="303"/>
      <c r="K24" s="313"/>
      <c r="L24" s="292"/>
      <c r="M24" s="293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</row>
    <row r="25" spans="1:70" ht="12.75" customHeight="1">
      <c r="A25" s="247"/>
      <c r="B25" s="248"/>
      <c r="C25" s="249"/>
      <c r="D25" s="305"/>
      <c r="E25" s="304"/>
      <c r="F25" s="318"/>
      <c r="G25" s="299"/>
      <c r="H25" s="305"/>
      <c r="I25" s="304"/>
      <c r="J25" s="305"/>
      <c r="K25" s="313"/>
      <c r="L25" s="294"/>
      <c r="M25" s="293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</row>
    <row r="26" spans="1:70" ht="12.75" customHeight="1">
      <c r="A26" s="250"/>
      <c r="B26" s="251"/>
      <c r="C26" s="252"/>
      <c r="D26" s="306"/>
      <c r="E26" s="307"/>
      <c r="F26" s="319"/>
      <c r="G26" s="300"/>
      <c r="H26" s="306"/>
      <c r="I26" s="307"/>
      <c r="J26" s="306"/>
      <c r="K26" s="314"/>
      <c r="L26" s="295"/>
      <c r="M26" s="296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</row>
    <row r="27" spans="1:70" ht="12.75" customHeight="1">
      <c r="A27" s="244"/>
      <c r="B27" s="245"/>
      <c r="C27" s="246"/>
      <c r="D27" s="308">
        <v>0</v>
      </c>
      <c r="E27" s="309"/>
      <c r="F27" s="316"/>
      <c r="G27" s="315"/>
      <c r="H27" s="308"/>
      <c r="I27" s="302"/>
      <c r="J27" s="301" t="s">
        <v>20</v>
      </c>
      <c r="K27" s="312"/>
      <c r="L27" s="290"/>
      <c r="M27" s="291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</row>
    <row r="28" spans="1:70" ht="12.75" customHeight="1">
      <c r="A28" s="247"/>
      <c r="B28" s="248"/>
      <c r="C28" s="249"/>
      <c r="D28" s="310"/>
      <c r="E28" s="311"/>
      <c r="F28" s="317"/>
      <c r="G28" s="298"/>
      <c r="H28" s="303"/>
      <c r="I28" s="304"/>
      <c r="J28" s="303"/>
      <c r="K28" s="313"/>
      <c r="L28" s="292"/>
      <c r="M28" s="293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</row>
    <row r="29" spans="1:70" ht="12.75" customHeight="1">
      <c r="A29" s="247"/>
      <c r="B29" s="248"/>
      <c r="C29" s="249"/>
      <c r="D29" s="305"/>
      <c r="E29" s="304"/>
      <c r="F29" s="318"/>
      <c r="G29" s="299"/>
      <c r="H29" s="305"/>
      <c r="I29" s="304"/>
      <c r="J29" s="305"/>
      <c r="K29" s="313"/>
      <c r="L29" s="294"/>
      <c r="M29" s="293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</row>
    <row r="30" spans="1:70" ht="12.75" customHeight="1">
      <c r="A30" s="250"/>
      <c r="B30" s="251"/>
      <c r="C30" s="252"/>
      <c r="D30" s="306"/>
      <c r="E30" s="307"/>
      <c r="F30" s="319"/>
      <c r="G30" s="300"/>
      <c r="H30" s="306"/>
      <c r="I30" s="307"/>
      <c r="J30" s="306"/>
      <c r="K30" s="314"/>
      <c r="L30" s="295"/>
      <c r="M30" s="296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</row>
    <row r="31" spans="1:70" ht="12.75" customHeight="1">
      <c r="A31" s="244"/>
      <c r="B31" s="245"/>
      <c r="C31" s="246"/>
      <c r="D31" s="308">
        <v>0</v>
      </c>
      <c r="E31" s="309"/>
      <c r="F31" s="316"/>
      <c r="G31" s="315"/>
      <c r="H31" s="308"/>
      <c r="I31" s="302"/>
      <c r="J31" s="301" t="s">
        <v>20</v>
      </c>
      <c r="K31" s="312"/>
      <c r="L31" s="290"/>
      <c r="M31" s="291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</row>
    <row r="32" spans="1:70" ht="12.75" customHeight="1">
      <c r="A32" s="247"/>
      <c r="B32" s="248"/>
      <c r="C32" s="249"/>
      <c r="D32" s="310"/>
      <c r="E32" s="311"/>
      <c r="F32" s="317"/>
      <c r="G32" s="298"/>
      <c r="H32" s="303"/>
      <c r="I32" s="304"/>
      <c r="J32" s="303"/>
      <c r="K32" s="313"/>
      <c r="L32" s="292"/>
      <c r="M32" s="293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</row>
    <row r="33" spans="1:70" ht="12.75" customHeight="1">
      <c r="A33" s="247"/>
      <c r="B33" s="248"/>
      <c r="C33" s="249"/>
      <c r="D33" s="305"/>
      <c r="E33" s="304"/>
      <c r="F33" s="318"/>
      <c r="G33" s="299"/>
      <c r="H33" s="305"/>
      <c r="I33" s="304"/>
      <c r="J33" s="305"/>
      <c r="K33" s="313"/>
      <c r="L33" s="294"/>
      <c r="M33" s="293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</row>
    <row r="34" spans="1:70" ht="12.75" customHeight="1">
      <c r="A34" s="250"/>
      <c r="B34" s="251"/>
      <c r="C34" s="252"/>
      <c r="D34" s="306"/>
      <c r="E34" s="307"/>
      <c r="F34" s="319"/>
      <c r="G34" s="300"/>
      <c r="H34" s="306"/>
      <c r="I34" s="307"/>
      <c r="J34" s="306"/>
      <c r="K34" s="314"/>
      <c r="L34" s="295"/>
      <c r="M34" s="296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</row>
    <row r="35" spans="1:70" ht="12.75" customHeight="1">
      <c r="A35" s="244"/>
      <c r="B35" s="245"/>
      <c r="C35" s="246"/>
      <c r="D35" s="308">
        <v>0</v>
      </c>
      <c r="E35" s="309"/>
      <c r="F35" s="316"/>
      <c r="G35" s="315"/>
      <c r="H35" s="308"/>
      <c r="I35" s="302"/>
      <c r="J35" s="301" t="s">
        <v>20</v>
      </c>
      <c r="K35" s="312"/>
      <c r="L35" s="290"/>
      <c r="M35" s="291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</row>
    <row r="36" spans="1:70" ht="12.75" customHeight="1">
      <c r="A36" s="247"/>
      <c r="B36" s="248"/>
      <c r="C36" s="249"/>
      <c r="D36" s="310"/>
      <c r="E36" s="311"/>
      <c r="F36" s="317"/>
      <c r="G36" s="298"/>
      <c r="H36" s="303"/>
      <c r="I36" s="304"/>
      <c r="J36" s="303"/>
      <c r="K36" s="313"/>
      <c r="L36" s="292"/>
      <c r="M36" s="293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</row>
    <row r="37" spans="1:70" ht="12.75" customHeight="1">
      <c r="A37" s="247"/>
      <c r="B37" s="248"/>
      <c r="C37" s="249"/>
      <c r="D37" s="305"/>
      <c r="E37" s="304"/>
      <c r="F37" s="318"/>
      <c r="G37" s="299"/>
      <c r="H37" s="305"/>
      <c r="I37" s="304"/>
      <c r="J37" s="305"/>
      <c r="K37" s="313"/>
      <c r="L37" s="294"/>
      <c r="M37" s="293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</row>
    <row r="38" spans="1:70" ht="12.75" customHeight="1">
      <c r="A38" s="250"/>
      <c r="B38" s="251"/>
      <c r="C38" s="252"/>
      <c r="D38" s="306"/>
      <c r="E38" s="307"/>
      <c r="F38" s="319"/>
      <c r="G38" s="300"/>
      <c r="H38" s="306"/>
      <c r="I38" s="307"/>
      <c r="J38" s="306"/>
      <c r="K38" s="314"/>
      <c r="L38" s="295"/>
      <c r="M38" s="296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</row>
    <row r="39" spans="1:70" ht="12.75" customHeight="1">
      <c r="A39" s="244"/>
      <c r="B39" s="245"/>
      <c r="C39" s="246"/>
      <c r="D39" s="308">
        <v>0</v>
      </c>
      <c r="E39" s="309"/>
      <c r="F39" s="316"/>
      <c r="G39" s="315"/>
      <c r="H39" s="308"/>
      <c r="I39" s="302"/>
      <c r="J39" s="301" t="s">
        <v>20</v>
      </c>
      <c r="K39" s="312"/>
      <c r="L39" s="290"/>
      <c r="M39" s="291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</row>
    <row r="40" spans="1:70" ht="12.75" customHeight="1">
      <c r="A40" s="247"/>
      <c r="B40" s="248"/>
      <c r="C40" s="249"/>
      <c r="D40" s="310"/>
      <c r="E40" s="311"/>
      <c r="F40" s="317"/>
      <c r="G40" s="298"/>
      <c r="H40" s="303"/>
      <c r="I40" s="304"/>
      <c r="J40" s="303"/>
      <c r="K40" s="313"/>
      <c r="L40" s="292"/>
      <c r="M40" s="293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</row>
    <row r="41" spans="1:70" ht="12.75" customHeight="1">
      <c r="A41" s="247"/>
      <c r="B41" s="248"/>
      <c r="C41" s="249"/>
      <c r="D41" s="305"/>
      <c r="E41" s="304"/>
      <c r="F41" s="318"/>
      <c r="G41" s="299"/>
      <c r="H41" s="305"/>
      <c r="I41" s="304"/>
      <c r="J41" s="305"/>
      <c r="K41" s="313"/>
      <c r="L41" s="294"/>
      <c r="M41" s="293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</row>
    <row r="42" spans="1:70" ht="12.75" customHeight="1">
      <c r="A42" s="250"/>
      <c r="B42" s="251"/>
      <c r="C42" s="252"/>
      <c r="D42" s="306"/>
      <c r="E42" s="307"/>
      <c r="F42" s="319"/>
      <c r="G42" s="300"/>
      <c r="H42" s="306"/>
      <c r="I42" s="307"/>
      <c r="J42" s="306"/>
      <c r="K42" s="314"/>
      <c r="L42" s="295"/>
      <c r="M42" s="296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</row>
    <row r="43" spans="1:70" ht="12.75" customHeight="1">
      <c r="A43" s="244"/>
      <c r="B43" s="245"/>
      <c r="C43" s="246"/>
      <c r="D43" s="468">
        <v>0</v>
      </c>
      <c r="E43" s="468"/>
      <c r="F43" s="316"/>
      <c r="G43" s="315"/>
      <c r="H43" s="308"/>
      <c r="I43" s="302"/>
      <c r="J43" s="301" t="s">
        <v>20</v>
      </c>
      <c r="K43" s="312"/>
      <c r="L43" s="290"/>
      <c r="M43" s="291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</row>
    <row r="44" spans="1:70" ht="12.75" customHeight="1">
      <c r="A44" s="244"/>
      <c r="B44" s="245"/>
      <c r="C44" s="246"/>
      <c r="D44" s="469"/>
      <c r="E44" s="469"/>
      <c r="F44" s="317"/>
      <c r="G44" s="298"/>
      <c r="H44" s="303"/>
      <c r="I44" s="304"/>
      <c r="J44" s="303"/>
      <c r="K44" s="313"/>
      <c r="L44" s="292"/>
      <c r="M44" s="293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</row>
    <row r="45" spans="1:70" ht="12.75" customHeight="1">
      <c r="A45" s="247"/>
      <c r="B45" s="248"/>
      <c r="C45" s="249"/>
      <c r="D45" s="469"/>
      <c r="E45" s="469"/>
      <c r="F45" s="318"/>
      <c r="G45" s="299"/>
      <c r="H45" s="305"/>
      <c r="I45" s="304"/>
      <c r="J45" s="305"/>
      <c r="K45" s="313"/>
      <c r="L45" s="294"/>
      <c r="M45" s="293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</row>
    <row r="46" spans="1:70" ht="12.75" customHeight="1">
      <c r="A46" s="247"/>
      <c r="B46" s="248"/>
      <c r="C46" s="249"/>
      <c r="D46" s="469"/>
      <c r="E46" s="469"/>
      <c r="F46" s="319"/>
      <c r="G46" s="300"/>
      <c r="H46" s="306"/>
      <c r="I46" s="307"/>
      <c r="J46" s="306"/>
      <c r="K46" s="314"/>
      <c r="L46" s="295"/>
      <c r="M46" s="296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</row>
    <row r="47" spans="1:70" ht="12.75" customHeight="1" thickBot="1">
      <c r="A47" s="250"/>
      <c r="B47" s="251"/>
      <c r="C47" s="252"/>
      <c r="D47" s="469"/>
      <c r="E47" s="469"/>
      <c r="F47" s="227"/>
      <c r="G47" s="253"/>
      <c r="H47" s="216"/>
      <c r="I47" s="217"/>
      <c r="J47" s="254"/>
      <c r="K47" s="254"/>
      <c r="L47" s="254"/>
      <c r="M47" s="24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</row>
    <row r="48" spans="1:70" ht="15" customHeight="1" thickBot="1">
      <c r="A48" s="23"/>
      <c r="B48" s="29" t="s">
        <v>160</v>
      </c>
      <c r="C48" s="2"/>
      <c r="D48" s="226">
        <f>MIN(D24:E46)</f>
        <v>0</v>
      </c>
      <c r="E48" s="228"/>
      <c r="F48" s="35" t="s">
        <v>161</v>
      </c>
      <c r="G48" s="288">
        <f>(SUM(G15:G46))*D48</f>
        <v>0</v>
      </c>
      <c r="H48" s="2"/>
      <c r="I48" s="2"/>
      <c r="J48" s="2"/>
      <c r="K48" s="2"/>
      <c r="L48" s="2"/>
      <c r="M48" s="225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</row>
    <row r="49" spans="1:70" ht="15" customHeight="1" thickBot="1">
      <c r="A49" s="23"/>
      <c r="B49" s="29" t="s">
        <v>162</v>
      </c>
      <c r="C49" s="2"/>
      <c r="D49" s="286">
        <f>AVERAGE(D24:E46)</f>
        <v>0</v>
      </c>
      <c r="E49" s="4"/>
      <c r="F49" s="2"/>
      <c r="G49" s="2"/>
      <c r="H49" s="33"/>
      <c r="I49" s="33"/>
      <c r="J49" s="2"/>
      <c r="K49" s="2"/>
      <c r="L49" s="2"/>
      <c r="M49" s="24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</row>
    <row r="50" spans="1:70" ht="15" customHeight="1" thickBot="1">
      <c r="A50" s="23"/>
      <c r="B50" s="29"/>
      <c r="C50" s="2"/>
      <c r="D50" s="226">
        <f>MAX(D24:E46)</f>
        <v>0</v>
      </c>
      <c r="E50" s="4"/>
      <c r="F50" s="35"/>
      <c r="G50" s="33"/>
      <c r="H50" s="33"/>
      <c r="I50" s="33"/>
      <c r="J50" s="2"/>
      <c r="K50" s="2"/>
      <c r="L50" s="2"/>
      <c r="M50" s="24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</row>
    <row r="51" spans="1:70" s="34" customFormat="1" ht="15" customHeight="1">
      <c r="A51" s="36" t="s">
        <v>163</v>
      </c>
      <c r="B51" s="37"/>
      <c r="C51" s="38" t="s">
        <v>164</v>
      </c>
      <c r="D51" s="32"/>
      <c r="E51" s="4"/>
      <c r="F51" s="28"/>
      <c r="G51" s="33"/>
      <c r="H51" s="33"/>
      <c r="I51" s="33"/>
      <c r="J51" s="2"/>
      <c r="K51" s="2"/>
      <c r="L51" s="2"/>
      <c r="M51" s="24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</row>
    <row r="52" spans="1:70" ht="14.4" customHeight="1" thickBot="1">
      <c r="A52" s="25"/>
      <c r="B52" s="26"/>
      <c r="C52" s="27"/>
      <c r="D52" s="223"/>
      <c r="E52" s="223"/>
      <c r="F52" s="223"/>
      <c r="G52" s="223"/>
      <c r="H52" s="223"/>
      <c r="I52" s="223"/>
      <c r="J52" s="223"/>
      <c r="K52" s="223"/>
      <c r="L52" s="223"/>
      <c r="M52" s="224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</row>
    <row r="53" spans="1:70" ht="4.5" customHeight="1">
      <c r="A53" s="1"/>
      <c r="B53" s="1"/>
      <c r="C53" s="1"/>
      <c r="D53" s="3"/>
      <c r="E53" s="3"/>
      <c r="F53" s="1"/>
      <c r="G53" s="1"/>
      <c r="H53" s="1"/>
      <c r="I53" s="1"/>
      <c r="J53" s="1"/>
      <c r="K53" s="1"/>
      <c r="L53" s="1"/>
      <c r="M53" s="1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</row>
    <row r="54" spans="1:70" ht="12.75" customHeight="1"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</row>
    <row r="55" spans="1:70"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</row>
    <row r="56" spans="1:70"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</row>
    <row r="57" spans="1:70"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</row>
    <row r="58" spans="1:70"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</row>
    <row r="59" spans="1:70"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</row>
    <row r="60" spans="1:70"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</row>
    <row r="61" spans="1:70"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</row>
    <row r="62" spans="1:70"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</row>
    <row r="63" spans="1:70"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</row>
    <row r="64" spans="1:70"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</row>
    <row r="65" spans="35:70"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</row>
    <row r="66" spans="35:70"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</row>
    <row r="67" spans="35:70"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</row>
    <row r="68" spans="35:70"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</row>
    <row r="69" spans="35:70"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</row>
    <row r="70" spans="35:70"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</row>
    <row r="71" spans="35:70"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</row>
    <row r="72" spans="35:70"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</row>
    <row r="73" spans="35:70"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</row>
    <row r="74" spans="35:70"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</row>
    <row r="75" spans="35:70"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</row>
    <row r="76" spans="35:70"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</row>
    <row r="77" spans="35:70"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</row>
    <row r="78" spans="35:70"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</row>
    <row r="79" spans="35:70"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</row>
    <row r="80" spans="35:70"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</row>
    <row r="81" spans="35:70"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</row>
    <row r="82" spans="35:70"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</row>
    <row r="83" spans="35:70"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</row>
    <row r="84" spans="35:70"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</row>
    <row r="85" spans="35:70"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</row>
    <row r="86" spans="35:70"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</row>
    <row r="87" spans="35:70"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</row>
    <row r="88" spans="35:70"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</row>
    <row r="89" spans="35:70"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</row>
    <row r="90" spans="35:70"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</row>
    <row r="91" spans="35:70"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</row>
    <row r="92" spans="35:70"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</row>
    <row r="93" spans="35:70"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</row>
    <row r="94" spans="35:70"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</row>
    <row r="95" spans="35:70"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</row>
    <row r="96" spans="35:70"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</row>
    <row r="97" spans="35:70"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</row>
    <row r="98" spans="35:70"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</row>
    <row r="99" spans="35:70"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</row>
    <row r="100" spans="35:70"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</row>
    <row r="101" spans="35:70"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</row>
    <row r="102" spans="35:70"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</row>
    <row r="103" spans="35:70"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</row>
    <row r="104" spans="35:70"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</row>
    <row r="105" spans="35:70"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</row>
    <row r="106" spans="35:70"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</row>
    <row r="107" spans="35:70"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</row>
    <row r="108" spans="35:70"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</row>
    <row r="109" spans="35:70"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</row>
    <row r="110" spans="35:70"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</row>
    <row r="111" spans="35:70"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</row>
    <row r="112" spans="35:70"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</row>
    <row r="113" spans="35:70"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</row>
    <row r="114" spans="35:70"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</row>
    <row r="115" spans="35:70"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</row>
    <row r="116" spans="35:70"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</row>
    <row r="117" spans="35:70"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</row>
    <row r="118" spans="35:70"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</row>
    <row r="119" spans="35:70"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</row>
    <row r="120" spans="35:70"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</row>
    <row r="121" spans="35:70"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</row>
    <row r="122" spans="35:70"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</row>
    <row r="123" spans="35:70"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</row>
    <row r="124" spans="35:70"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</row>
    <row r="125" spans="35:70"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</row>
    <row r="126" spans="35:70"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</row>
    <row r="127" spans="35:70"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</row>
    <row r="128" spans="35:70"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</row>
    <row r="129" spans="35:70"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</row>
    <row r="130" spans="35:70"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</row>
    <row r="131" spans="35:70"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</row>
    <row r="132" spans="35:70"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</row>
    <row r="133" spans="35:70"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</row>
    <row r="134" spans="35:70"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</row>
    <row r="135" spans="35:70"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</row>
    <row r="136" spans="35:70"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</row>
    <row r="137" spans="35:70"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</row>
    <row r="138" spans="35:70"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</row>
    <row r="139" spans="35:70"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</row>
    <row r="140" spans="35:70"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</row>
    <row r="141" spans="35:70"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</row>
    <row r="142" spans="35:70"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</row>
    <row r="143" spans="35:70"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</row>
    <row r="144" spans="35:70"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</row>
    <row r="145" spans="35:70"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</row>
    <row r="146" spans="35:70"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</row>
    <row r="147" spans="35:70"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</row>
    <row r="148" spans="35:70"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</row>
    <row r="149" spans="35:70"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</row>
    <row r="150" spans="35:70"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</row>
    <row r="151" spans="35:70"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</row>
    <row r="152" spans="35:70"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</row>
    <row r="153" spans="35:70"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</row>
    <row r="154" spans="35:70"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</row>
    <row r="155" spans="35:70"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</row>
    <row r="156" spans="35:70"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</row>
    <row r="157" spans="35:70"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</row>
    <row r="158" spans="35:70"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</row>
    <row r="159" spans="35:70"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</row>
    <row r="160" spans="35:70"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</row>
    <row r="161" spans="35:70"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</row>
    <row r="162" spans="35:70"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</row>
    <row r="163" spans="35:70"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</row>
    <row r="164" spans="35:70"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</row>
    <row r="165" spans="35:70"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</row>
    <row r="166" spans="35:70"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</row>
    <row r="167" spans="35:70"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</row>
    <row r="168" spans="35:70"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</row>
    <row r="169" spans="35:70"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</row>
    <row r="170" spans="35:70"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</row>
    <row r="171" spans="35:70"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</row>
    <row r="172" spans="35:70"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</row>
    <row r="173" spans="35:70"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</row>
    <row r="174" spans="35:70"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</row>
    <row r="175" spans="35:70"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</row>
  </sheetData>
  <mergeCells count="59">
    <mergeCell ref="A1:B4"/>
    <mergeCell ref="C1:I4"/>
    <mergeCell ref="J1:M4"/>
    <mergeCell ref="C6:I6"/>
    <mergeCell ref="D11:E14"/>
    <mergeCell ref="F11:F14"/>
    <mergeCell ref="G11:G14"/>
    <mergeCell ref="H11:I14"/>
    <mergeCell ref="J11:M11"/>
    <mergeCell ref="J12:K14"/>
    <mergeCell ref="L19:M22"/>
    <mergeCell ref="L12:M14"/>
    <mergeCell ref="D15:E18"/>
    <mergeCell ref="F15:F18"/>
    <mergeCell ref="G15:G18"/>
    <mergeCell ref="H15:I18"/>
    <mergeCell ref="J15:K18"/>
    <mergeCell ref="L15:M18"/>
    <mergeCell ref="D19:E22"/>
    <mergeCell ref="F19:F22"/>
    <mergeCell ref="G19:G22"/>
    <mergeCell ref="H19:I22"/>
    <mergeCell ref="J19:K22"/>
    <mergeCell ref="L27:M30"/>
    <mergeCell ref="D23:E26"/>
    <mergeCell ref="F23:F26"/>
    <mergeCell ref="G23:G26"/>
    <mergeCell ref="H23:I26"/>
    <mergeCell ref="J23:K26"/>
    <mergeCell ref="L23:M26"/>
    <mergeCell ref="D27:E30"/>
    <mergeCell ref="F27:F30"/>
    <mergeCell ref="G27:G30"/>
    <mergeCell ref="H27:I30"/>
    <mergeCell ref="J27:K30"/>
    <mergeCell ref="L35:M38"/>
    <mergeCell ref="D31:E34"/>
    <mergeCell ref="F31:F34"/>
    <mergeCell ref="G31:G34"/>
    <mergeCell ref="H31:I34"/>
    <mergeCell ref="J31:K34"/>
    <mergeCell ref="L31:M34"/>
    <mergeCell ref="D35:E38"/>
    <mergeCell ref="F35:F38"/>
    <mergeCell ref="G35:G38"/>
    <mergeCell ref="H35:I38"/>
    <mergeCell ref="J35:K38"/>
    <mergeCell ref="L43:M46"/>
    <mergeCell ref="D39:E42"/>
    <mergeCell ref="F39:F42"/>
    <mergeCell ref="G39:G42"/>
    <mergeCell ref="H39:I42"/>
    <mergeCell ref="J39:K42"/>
    <mergeCell ref="L39:M42"/>
    <mergeCell ref="F43:F46"/>
    <mergeCell ref="G43:G46"/>
    <mergeCell ref="H43:I46"/>
    <mergeCell ref="J43:K46"/>
    <mergeCell ref="D43:E47"/>
  </mergeCells>
  <conditionalFormatting sqref="D15:E42 D43">
    <cfRule type="cellIs" dxfId="8" priority="1" operator="greaterThan">
      <formula>"0.5"</formula>
    </cfRule>
    <cfRule type="cellIs" dxfId="7" priority="2" operator="between">
      <formula>"0.1"</formula>
      <formula>"0.5"</formula>
    </cfRule>
    <cfRule type="cellIs" dxfId="6" priority="3" operator="equal">
      <formula>0</formula>
    </cfRule>
  </conditionalFormatting>
  <printOptions horizontalCentered="1" verticalCentered="1"/>
  <pageMargins left="0.27559055118110237" right="0.19685039370078741" top="0.43307086614173229" bottom="0.43307086614173229" header="0.31496062992125984" footer="0.39370078740157483"/>
  <pageSetup paperSize="9" orientation="portrait" horizontalDpi="1200" verticalDpi="1200" r:id="rId1"/>
  <headerFooter alignWithMargins="0">
    <oddHeader>&amp;LPI 3010 Enclosure 1(a) / 09.24</oddHeader>
    <oddFooter xml:space="preserve"><![CDATA[&L_x000D_&1#&"Arial"&10&K000000 [Internal]&R&",Standard"&7    ]]></oddFooter>
  </headerFooter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CFB767-4145-4B96-B47D-7C5581C9E84E}">
  <sheetPr>
    <pageSetUpPr fitToPage="1"/>
  </sheetPr>
  <dimension ref="A1:BR175"/>
  <sheetViews>
    <sheetView showGridLines="0" topLeftCell="A17" zoomScale="145" zoomScaleNormal="145" zoomScaleSheetLayoutView="115" zoomScalePageLayoutView="85" workbookViewId="0">
      <selection activeCell="P42" sqref="P42"/>
    </sheetView>
  </sheetViews>
  <sheetFormatPr baseColWidth="10" defaultColWidth="11.44140625" defaultRowHeight="12.6"/>
  <cols>
    <col min="1" max="1" customWidth="true" style="2" width="13.33203125"/>
    <col min="2" max="2" customWidth="true" style="2" width="11.5546875"/>
    <col min="3" max="3" customWidth="true" style="2" width="6.33203125"/>
    <col min="4" max="4" customWidth="true" style="4" width="5.5546875"/>
    <col min="5" max="5" customWidth="true" style="4" width="5.6640625"/>
    <col min="6" max="7" customWidth="true" style="2" width="10.6640625"/>
    <col min="8" max="13" customWidth="true" style="2" width="5.5546875"/>
    <col min="14" max="16384" style="2" width="11.44140625"/>
  </cols>
  <sheetData>
    <row r="1" spans="1:70" ht="7.95" customHeight="1">
      <c r="A1" s="325"/>
      <c r="B1" s="326"/>
      <c r="C1" s="331" t="s">
        <v>144</v>
      </c>
      <c r="D1" s="332"/>
      <c r="E1" s="332"/>
      <c r="F1" s="332"/>
      <c r="G1" s="332"/>
      <c r="H1" s="332"/>
      <c r="I1" s="333"/>
      <c r="J1" s="340" t="s">
        <v>212</v>
      </c>
      <c r="K1" s="341"/>
      <c r="L1" s="341"/>
      <c r="M1" s="34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</row>
    <row r="2" spans="1:70" s="30" customFormat="1" ht="15" customHeight="1">
      <c r="A2" s="327"/>
      <c r="B2" s="328"/>
      <c r="C2" s="334"/>
      <c r="D2" s="335"/>
      <c r="E2" s="335"/>
      <c r="F2" s="335"/>
      <c r="G2" s="335"/>
      <c r="H2" s="335"/>
      <c r="I2" s="336"/>
      <c r="J2" s="343"/>
      <c r="K2" s="344"/>
      <c r="L2" s="344"/>
      <c r="M2" s="345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</row>
    <row r="3" spans="1:70" s="30" customFormat="1" ht="17.100000000000001" customHeight="1">
      <c r="A3" s="327"/>
      <c r="B3" s="328"/>
      <c r="C3" s="334"/>
      <c r="D3" s="335"/>
      <c r="E3" s="335"/>
      <c r="F3" s="335"/>
      <c r="G3" s="335"/>
      <c r="H3" s="335"/>
      <c r="I3" s="336"/>
      <c r="J3" s="343"/>
      <c r="K3" s="344"/>
      <c r="L3" s="344"/>
      <c r="M3" s="345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</row>
    <row r="4" spans="1:70" s="30" customFormat="1" ht="14.1" customHeight="1" thickBot="1">
      <c r="A4" s="329"/>
      <c r="B4" s="330"/>
      <c r="C4" s="337"/>
      <c r="D4" s="338"/>
      <c r="E4" s="338"/>
      <c r="F4" s="338"/>
      <c r="G4" s="338"/>
      <c r="H4" s="338"/>
      <c r="I4" s="339"/>
      <c r="J4" s="346"/>
      <c r="K4" s="347"/>
      <c r="L4" s="347"/>
      <c r="M4" s="348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</row>
    <row r="5" spans="1:70" ht="6.75" customHeight="1">
      <c r="A5" s="20"/>
      <c r="B5" s="5"/>
      <c r="C5" s="5"/>
      <c r="D5" s="6"/>
      <c r="E5" s="6"/>
      <c r="F5" s="5"/>
      <c r="G5" s="5"/>
      <c r="H5" s="5"/>
      <c r="I5" s="5"/>
      <c r="J5" s="5"/>
      <c r="K5" s="5"/>
      <c r="L5" s="5"/>
      <c r="M5" s="17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</row>
    <row r="6" spans="1:70" ht="17.399999999999999">
      <c r="A6" s="21"/>
      <c r="B6" s="13"/>
      <c r="C6" s="349" t="s">
        <v>145</v>
      </c>
      <c r="D6" s="349"/>
      <c r="E6" s="349"/>
      <c r="F6" s="349"/>
      <c r="G6" s="349"/>
      <c r="H6" s="349"/>
      <c r="I6" s="349"/>
      <c r="J6" s="258"/>
      <c r="L6" s="13"/>
      <c r="M6" s="18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</row>
    <row r="7" spans="1:70" ht="6" customHeight="1">
      <c r="A7" s="16"/>
      <c r="B7" s="7"/>
      <c r="C7" s="7"/>
      <c r="D7" s="8"/>
      <c r="E7" s="9"/>
      <c r="F7" s="10"/>
      <c r="G7" s="7"/>
      <c r="H7" s="7"/>
      <c r="I7" s="7"/>
      <c r="J7" s="7"/>
      <c r="K7" s="7"/>
      <c r="L7" s="7"/>
      <c r="M7" s="19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</row>
    <row r="8" spans="1:70" ht="12.75" customHeight="1">
      <c r="A8" s="20" t="s">
        <v>146</v>
      </c>
      <c r="B8" s="259"/>
      <c r="C8" s="10"/>
      <c r="D8" s="14"/>
      <c r="F8" s="15" t="s">
        <v>147</v>
      </c>
      <c r="G8" s="5"/>
      <c r="H8" s="5"/>
      <c r="I8" s="5"/>
      <c r="J8" s="10"/>
      <c r="K8" s="11"/>
      <c r="L8" s="12"/>
      <c r="M8" s="17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</row>
    <row r="9" spans="1:70" ht="12.75" customHeight="1">
      <c r="A9" s="21"/>
      <c r="B9" s="259"/>
      <c r="C9" s="10"/>
      <c r="D9" s="14"/>
      <c r="F9" s="15"/>
      <c r="G9" s="5"/>
      <c r="H9" s="5"/>
      <c r="I9" s="5"/>
      <c r="J9" s="10"/>
      <c r="K9" s="11"/>
      <c r="L9" s="12"/>
      <c r="M9" s="17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</row>
    <row r="10" spans="1:70" ht="6.75" customHeight="1" thickBot="1">
      <c r="A10" s="16"/>
      <c r="B10" s="5"/>
      <c r="C10" s="5"/>
      <c r="D10" s="6"/>
      <c r="E10" s="6"/>
      <c r="F10" s="12"/>
      <c r="G10" s="5"/>
      <c r="H10" s="5"/>
      <c r="I10" s="5"/>
      <c r="J10" s="5"/>
      <c r="K10" s="5"/>
      <c r="L10" s="5"/>
      <c r="M10" s="17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</row>
    <row r="11" spans="1:70" ht="12.75" customHeight="1" thickBot="1">
      <c r="A11" s="235" t="s">
        <v>148</v>
      </c>
      <c r="B11" s="236"/>
      <c r="C11" s="237"/>
      <c r="D11" s="350" t="s">
        <v>149</v>
      </c>
      <c r="E11" s="351"/>
      <c r="F11" s="356" t="s">
        <v>150</v>
      </c>
      <c r="G11" s="356" t="s">
        <v>151</v>
      </c>
      <c r="H11" s="359" t="s">
        <v>152</v>
      </c>
      <c r="I11" s="360"/>
      <c r="J11" s="365" t="s">
        <v>153</v>
      </c>
      <c r="K11" s="366"/>
      <c r="L11" s="366"/>
      <c r="M11" s="367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</row>
    <row r="12" spans="1:70" ht="12.75" customHeight="1">
      <c r="A12" s="238" t="s">
        <v>154</v>
      </c>
      <c r="B12" s="239"/>
      <c r="C12" s="240"/>
      <c r="D12" s="352"/>
      <c r="E12" s="353"/>
      <c r="F12" s="357"/>
      <c r="G12" s="357"/>
      <c r="H12" s="361"/>
      <c r="I12" s="362"/>
      <c r="J12" s="359" t="s">
        <v>155</v>
      </c>
      <c r="K12" s="360"/>
      <c r="L12" s="320" t="s">
        <v>156</v>
      </c>
      <c r="M12" s="321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</row>
    <row r="13" spans="1:70" ht="12.75" customHeight="1">
      <c r="A13" s="238" t="s">
        <v>157</v>
      </c>
      <c r="B13" s="239"/>
      <c r="C13" s="240"/>
      <c r="D13" s="352"/>
      <c r="E13" s="353"/>
      <c r="F13" s="357"/>
      <c r="G13" s="357"/>
      <c r="H13" s="361"/>
      <c r="I13" s="362"/>
      <c r="J13" s="368"/>
      <c r="K13" s="369"/>
      <c r="L13" s="322"/>
      <c r="M13" s="323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</row>
    <row r="14" spans="1:70" ht="12.75" customHeight="1">
      <c r="A14" s="241" t="s">
        <v>158</v>
      </c>
      <c r="B14" s="242"/>
      <c r="C14" s="243"/>
      <c r="D14" s="354"/>
      <c r="E14" s="355"/>
      <c r="F14" s="358"/>
      <c r="G14" s="358"/>
      <c r="H14" s="363"/>
      <c r="I14" s="364"/>
      <c r="J14" s="361"/>
      <c r="K14" s="369"/>
      <c r="L14" s="324"/>
      <c r="M14" s="323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</row>
    <row r="15" spans="1:70" ht="12.75" customHeight="1">
      <c r="A15" s="244"/>
      <c r="B15" s="245"/>
      <c r="C15" s="246"/>
      <c r="D15" s="308">
        <v>0</v>
      </c>
      <c r="E15" s="309"/>
      <c r="F15" s="316"/>
      <c r="G15" s="315"/>
      <c r="H15" s="308"/>
      <c r="I15" s="302"/>
      <c r="J15" s="301" t="s">
        <v>20</v>
      </c>
      <c r="K15" s="312"/>
      <c r="L15" s="290"/>
      <c r="M15" s="291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</row>
    <row r="16" spans="1:70" ht="12.75" customHeight="1">
      <c r="A16" s="247"/>
      <c r="B16" s="248"/>
      <c r="C16" s="249"/>
      <c r="D16" s="310"/>
      <c r="E16" s="311"/>
      <c r="F16" s="317"/>
      <c r="G16" s="298"/>
      <c r="H16" s="303"/>
      <c r="I16" s="304"/>
      <c r="J16" s="303"/>
      <c r="K16" s="313"/>
      <c r="L16" s="292"/>
      <c r="M16" s="293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</row>
    <row r="17" spans="1:70" ht="12.75" customHeight="1">
      <c r="A17" s="247"/>
      <c r="B17" s="248"/>
      <c r="C17" s="249"/>
      <c r="D17" s="305"/>
      <c r="E17" s="304"/>
      <c r="F17" s="318"/>
      <c r="G17" s="299"/>
      <c r="H17" s="305"/>
      <c r="I17" s="304"/>
      <c r="J17" s="305"/>
      <c r="K17" s="313"/>
      <c r="L17" s="294"/>
      <c r="M17" s="293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</row>
    <row r="18" spans="1:70" ht="12.75" customHeight="1">
      <c r="A18" s="250"/>
      <c r="B18" s="251"/>
      <c r="C18" s="252"/>
      <c r="D18" s="306"/>
      <c r="E18" s="307"/>
      <c r="F18" s="319"/>
      <c r="G18" s="300"/>
      <c r="H18" s="306"/>
      <c r="I18" s="307"/>
      <c r="J18" s="306"/>
      <c r="K18" s="314"/>
      <c r="L18" s="295"/>
      <c r="M18" s="296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</row>
    <row r="19" spans="1:70" ht="12.75" customHeight="1">
      <c r="A19" s="244"/>
      <c r="B19" s="245"/>
      <c r="C19" s="246"/>
      <c r="D19" s="308">
        <v>0</v>
      </c>
      <c r="E19" s="309"/>
      <c r="F19" s="316"/>
      <c r="G19" s="315"/>
      <c r="H19" s="308"/>
      <c r="I19" s="302"/>
      <c r="J19" s="301" t="s">
        <v>20</v>
      </c>
      <c r="K19" s="312"/>
      <c r="L19" s="290"/>
      <c r="M19" s="291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</row>
    <row r="20" spans="1:70" ht="12.75" customHeight="1">
      <c r="A20" s="247"/>
      <c r="B20" s="248"/>
      <c r="C20" s="249"/>
      <c r="D20" s="310"/>
      <c r="E20" s="311"/>
      <c r="F20" s="317"/>
      <c r="G20" s="298"/>
      <c r="H20" s="303"/>
      <c r="I20" s="304"/>
      <c r="J20" s="303"/>
      <c r="K20" s="313"/>
      <c r="L20" s="292"/>
      <c r="M20" s="293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</row>
    <row r="21" spans="1:70" ht="12.75" customHeight="1">
      <c r="A21" s="247"/>
      <c r="B21" s="248"/>
      <c r="C21" s="249"/>
      <c r="D21" s="305"/>
      <c r="E21" s="304"/>
      <c r="F21" s="318"/>
      <c r="G21" s="299"/>
      <c r="H21" s="305"/>
      <c r="I21" s="304"/>
      <c r="J21" s="305"/>
      <c r="K21" s="313"/>
      <c r="L21" s="294"/>
      <c r="M21" s="293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</row>
    <row r="22" spans="1:70" ht="12.75" customHeight="1">
      <c r="A22" s="250"/>
      <c r="B22" s="251"/>
      <c r="C22" s="252"/>
      <c r="D22" s="306"/>
      <c r="E22" s="307"/>
      <c r="F22" s="319"/>
      <c r="G22" s="300"/>
      <c r="H22" s="306"/>
      <c r="I22" s="307"/>
      <c r="J22" s="306"/>
      <c r="K22" s="314"/>
      <c r="L22" s="295"/>
      <c r="M22" s="296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</row>
    <row r="23" spans="1:70" ht="12.75" customHeight="1">
      <c r="A23" s="244"/>
      <c r="B23" s="245"/>
      <c r="C23" s="246"/>
      <c r="D23" s="308">
        <v>0</v>
      </c>
      <c r="E23" s="309"/>
      <c r="F23" s="316"/>
      <c r="G23" s="315"/>
      <c r="H23" s="308"/>
      <c r="I23" s="302"/>
      <c r="J23" s="301" t="s">
        <v>20</v>
      </c>
      <c r="K23" s="312"/>
      <c r="L23" s="290"/>
      <c r="M23" s="291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</row>
    <row r="24" spans="1:70" ht="12.75" customHeight="1">
      <c r="A24" s="247"/>
      <c r="B24" s="248"/>
      <c r="C24" s="249"/>
      <c r="D24" s="310"/>
      <c r="E24" s="311"/>
      <c r="F24" s="317"/>
      <c r="G24" s="298"/>
      <c r="H24" s="303"/>
      <c r="I24" s="304"/>
      <c r="J24" s="303"/>
      <c r="K24" s="313"/>
      <c r="L24" s="292"/>
      <c r="M24" s="293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</row>
    <row r="25" spans="1:70" ht="12.75" customHeight="1">
      <c r="A25" s="247"/>
      <c r="B25" s="248"/>
      <c r="C25" s="249"/>
      <c r="D25" s="305"/>
      <c r="E25" s="304"/>
      <c r="F25" s="318"/>
      <c r="G25" s="299"/>
      <c r="H25" s="305"/>
      <c r="I25" s="304"/>
      <c r="J25" s="305"/>
      <c r="K25" s="313"/>
      <c r="L25" s="294"/>
      <c r="M25" s="293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</row>
    <row r="26" spans="1:70" ht="12.75" customHeight="1">
      <c r="A26" s="250"/>
      <c r="B26" s="251"/>
      <c r="C26" s="252"/>
      <c r="D26" s="306"/>
      <c r="E26" s="307"/>
      <c r="F26" s="319"/>
      <c r="G26" s="300"/>
      <c r="H26" s="306"/>
      <c r="I26" s="307"/>
      <c r="J26" s="306"/>
      <c r="K26" s="314"/>
      <c r="L26" s="295"/>
      <c r="M26" s="296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</row>
    <row r="27" spans="1:70" ht="12.75" customHeight="1">
      <c r="A27" s="244"/>
      <c r="B27" s="245"/>
      <c r="C27" s="246"/>
      <c r="D27" s="308">
        <v>0</v>
      </c>
      <c r="E27" s="309"/>
      <c r="F27" s="316"/>
      <c r="G27" s="315"/>
      <c r="H27" s="308"/>
      <c r="I27" s="302"/>
      <c r="J27" s="301" t="s">
        <v>20</v>
      </c>
      <c r="K27" s="312"/>
      <c r="L27" s="290"/>
      <c r="M27" s="291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</row>
    <row r="28" spans="1:70" ht="12.75" customHeight="1">
      <c r="A28" s="247"/>
      <c r="B28" s="248"/>
      <c r="C28" s="249"/>
      <c r="D28" s="310"/>
      <c r="E28" s="311"/>
      <c r="F28" s="317"/>
      <c r="G28" s="298"/>
      <c r="H28" s="303"/>
      <c r="I28" s="304"/>
      <c r="J28" s="303"/>
      <c r="K28" s="313"/>
      <c r="L28" s="292"/>
      <c r="M28" s="293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</row>
    <row r="29" spans="1:70" ht="12.75" customHeight="1">
      <c r="A29" s="247"/>
      <c r="B29" s="248"/>
      <c r="C29" s="249"/>
      <c r="D29" s="305"/>
      <c r="E29" s="304"/>
      <c r="F29" s="318"/>
      <c r="G29" s="299"/>
      <c r="H29" s="305"/>
      <c r="I29" s="304"/>
      <c r="J29" s="305"/>
      <c r="K29" s="313"/>
      <c r="L29" s="294"/>
      <c r="M29" s="293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</row>
    <row r="30" spans="1:70" ht="12.75" customHeight="1">
      <c r="A30" s="250"/>
      <c r="B30" s="251"/>
      <c r="C30" s="252"/>
      <c r="D30" s="306"/>
      <c r="E30" s="307"/>
      <c r="F30" s="319"/>
      <c r="G30" s="300"/>
      <c r="H30" s="306"/>
      <c r="I30" s="307"/>
      <c r="J30" s="306"/>
      <c r="K30" s="314"/>
      <c r="L30" s="295"/>
      <c r="M30" s="296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</row>
    <row r="31" spans="1:70" ht="12.75" customHeight="1">
      <c r="A31" s="244"/>
      <c r="B31" s="245"/>
      <c r="C31" s="246"/>
      <c r="D31" s="308">
        <v>0</v>
      </c>
      <c r="E31" s="309"/>
      <c r="F31" s="316"/>
      <c r="G31" s="315"/>
      <c r="H31" s="308"/>
      <c r="I31" s="302"/>
      <c r="J31" s="301" t="s">
        <v>20</v>
      </c>
      <c r="K31" s="312"/>
      <c r="L31" s="290"/>
      <c r="M31" s="291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</row>
    <row r="32" spans="1:70" ht="12.75" customHeight="1">
      <c r="A32" s="247"/>
      <c r="B32" s="248"/>
      <c r="C32" s="249"/>
      <c r="D32" s="310"/>
      <c r="E32" s="311"/>
      <c r="F32" s="317"/>
      <c r="G32" s="298"/>
      <c r="H32" s="303"/>
      <c r="I32" s="304"/>
      <c r="J32" s="303"/>
      <c r="K32" s="313"/>
      <c r="L32" s="292"/>
      <c r="M32" s="293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</row>
    <row r="33" spans="1:70" ht="12.75" customHeight="1">
      <c r="A33" s="247"/>
      <c r="B33" s="248"/>
      <c r="C33" s="249"/>
      <c r="D33" s="305"/>
      <c r="E33" s="304"/>
      <c r="F33" s="318"/>
      <c r="G33" s="299"/>
      <c r="H33" s="305"/>
      <c r="I33" s="304"/>
      <c r="J33" s="305"/>
      <c r="K33" s="313"/>
      <c r="L33" s="294"/>
      <c r="M33" s="293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</row>
    <row r="34" spans="1:70" ht="12.75" customHeight="1">
      <c r="A34" s="250"/>
      <c r="B34" s="251"/>
      <c r="C34" s="252"/>
      <c r="D34" s="306"/>
      <c r="E34" s="307"/>
      <c r="F34" s="319"/>
      <c r="G34" s="300"/>
      <c r="H34" s="306"/>
      <c r="I34" s="307"/>
      <c r="J34" s="306"/>
      <c r="K34" s="314"/>
      <c r="L34" s="295"/>
      <c r="M34" s="296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</row>
    <row r="35" spans="1:70" ht="12.75" customHeight="1">
      <c r="A35" s="244"/>
      <c r="B35" s="245"/>
      <c r="C35" s="246"/>
      <c r="D35" s="308">
        <v>0</v>
      </c>
      <c r="E35" s="309"/>
      <c r="F35" s="316"/>
      <c r="G35" s="315"/>
      <c r="H35" s="308"/>
      <c r="I35" s="302"/>
      <c r="J35" s="301" t="s">
        <v>20</v>
      </c>
      <c r="K35" s="312"/>
      <c r="L35" s="290"/>
      <c r="M35" s="291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</row>
    <row r="36" spans="1:70" ht="12.75" customHeight="1">
      <c r="A36" s="247"/>
      <c r="B36" s="248"/>
      <c r="C36" s="249"/>
      <c r="D36" s="310"/>
      <c r="E36" s="311"/>
      <c r="F36" s="317"/>
      <c r="G36" s="298"/>
      <c r="H36" s="303"/>
      <c r="I36" s="304"/>
      <c r="J36" s="303"/>
      <c r="K36" s="313"/>
      <c r="L36" s="292"/>
      <c r="M36" s="293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</row>
    <row r="37" spans="1:70" ht="12.75" customHeight="1">
      <c r="A37" s="247"/>
      <c r="B37" s="248"/>
      <c r="C37" s="249"/>
      <c r="D37" s="305"/>
      <c r="E37" s="304"/>
      <c r="F37" s="318"/>
      <c r="G37" s="299"/>
      <c r="H37" s="305"/>
      <c r="I37" s="304"/>
      <c r="J37" s="305"/>
      <c r="K37" s="313"/>
      <c r="L37" s="294"/>
      <c r="M37" s="293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</row>
    <row r="38" spans="1:70" ht="12.75" customHeight="1">
      <c r="A38" s="250"/>
      <c r="B38" s="251"/>
      <c r="C38" s="252"/>
      <c r="D38" s="306"/>
      <c r="E38" s="307"/>
      <c r="F38" s="319"/>
      <c r="G38" s="300"/>
      <c r="H38" s="306"/>
      <c r="I38" s="307"/>
      <c r="J38" s="306"/>
      <c r="K38" s="314"/>
      <c r="L38" s="295"/>
      <c r="M38" s="296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</row>
    <row r="39" spans="1:70" ht="12.75" customHeight="1">
      <c r="A39" s="244"/>
      <c r="B39" s="245"/>
      <c r="C39" s="246"/>
      <c r="D39" s="308">
        <v>0</v>
      </c>
      <c r="E39" s="309"/>
      <c r="F39" s="316"/>
      <c r="G39" s="315"/>
      <c r="H39" s="308"/>
      <c r="I39" s="302"/>
      <c r="J39" s="301" t="s">
        <v>20</v>
      </c>
      <c r="K39" s="312"/>
      <c r="L39" s="290"/>
      <c r="M39" s="291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</row>
    <row r="40" spans="1:70" ht="12.75" customHeight="1">
      <c r="A40" s="247"/>
      <c r="B40" s="248"/>
      <c r="C40" s="249"/>
      <c r="D40" s="310"/>
      <c r="E40" s="311"/>
      <c r="F40" s="317"/>
      <c r="G40" s="298"/>
      <c r="H40" s="303"/>
      <c r="I40" s="304"/>
      <c r="J40" s="303"/>
      <c r="K40" s="313"/>
      <c r="L40" s="292"/>
      <c r="M40" s="293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</row>
    <row r="41" spans="1:70" ht="12.75" customHeight="1">
      <c r="A41" s="247"/>
      <c r="B41" s="248"/>
      <c r="C41" s="249"/>
      <c r="D41" s="305"/>
      <c r="E41" s="304"/>
      <c r="F41" s="318"/>
      <c r="G41" s="299"/>
      <c r="H41" s="305"/>
      <c r="I41" s="304"/>
      <c r="J41" s="305"/>
      <c r="K41" s="313"/>
      <c r="L41" s="294"/>
      <c r="M41" s="293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</row>
    <row r="42" spans="1:70" ht="12.75" customHeight="1">
      <c r="A42" s="250"/>
      <c r="B42" s="251"/>
      <c r="C42" s="252"/>
      <c r="D42" s="306"/>
      <c r="E42" s="307"/>
      <c r="F42" s="319"/>
      <c r="G42" s="300"/>
      <c r="H42" s="306"/>
      <c r="I42" s="307"/>
      <c r="J42" s="306"/>
      <c r="K42" s="314"/>
      <c r="L42" s="295"/>
      <c r="M42" s="296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</row>
    <row r="43" spans="1:70" ht="12.75" customHeight="1">
      <c r="A43" s="244"/>
      <c r="B43" s="245"/>
      <c r="C43" s="246"/>
      <c r="D43" s="468">
        <v>0</v>
      </c>
      <c r="E43" s="468"/>
      <c r="F43" s="316"/>
      <c r="G43" s="315"/>
      <c r="H43" s="308"/>
      <c r="I43" s="302"/>
      <c r="J43" s="301" t="s">
        <v>20</v>
      </c>
      <c r="K43" s="312"/>
      <c r="L43" s="290"/>
      <c r="M43" s="291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</row>
    <row r="44" spans="1:70" ht="12.75" customHeight="1">
      <c r="A44" s="244"/>
      <c r="B44" s="245"/>
      <c r="C44" s="246"/>
      <c r="D44" s="469"/>
      <c r="E44" s="469"/>
      <c r="F44" s="317"/>
      <c r="G44" s="298"/>
      <c r="H44" s="303"/>
      <c r="I44" s="304"/>
      <c r="J44" s="303"/>
      <c r="K44" s="313"/>
      <c r="L44" s="292"/>
      <c r="M44" s="293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</row>
    <row r="45" spans="1:70" ht="12.75" customHeight="1">
      <c r="A45" s="247"/>
      <c r="B45" s="248"/>
      <c r="C45" s="249"/>
      <c r="D45" s="469"/>
      <c r="E45" s="469"/>
      <c r="F45" s="318"/>
      <c r="G45" s="299"/>
      <c r="H45" s="305"/>
      <c r="I45" s="304"/>
      <c r="J45" s="305"/>
      <c r="K45" s="313"/>
      <c r="L45" s="294"/>
      <c r="M45" s="293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</row>
    <row r="46" spans="1:70" ht="12.75" customHeight="1">
      <c r="A46" s="247"/>
      <c r="B46" s="248"/>
      <c r="C46" s="249"/>
      <c r="D46" s="469"/>
      <c r="E46" s="469"/>
      <c r="F46" s="319"/>
      <c r="G46" s="300"/>
      <c r="H46" s="306"/>
      <c r="I46" s="307"/>
      <c r="J46" s="306"/>
      <c r="K46" s="314"/>
      <c r="L46" s="295"/>
      <c r="M46" s="296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</row>
    <row r="47" spans="1:70" ht="12.75" customHeight="1" thickBot="1">
      <c r="A47" s="250"/>
      <c r="B47" s="251"/>
      <c r="C47" s="252"/>
      <c r="D47" s="469"/>
      <c r="E47" s="469"/>
      <c r="F47" s="227"/>
      <c r="G47" s="253"/>
      <c r="H47" s="216"/>
      <c r="I47" s="217"/>
      <c r="J47" s="254"/>
      <c r="K47" s="254"/>
      <c r="L47" s="254"/>
      <c r="M47" s="24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</row>
    <row r="48" spans="1:70" ht="15" customHeight="1" thickBot="1">
      <c r="A48" s="23"/>
      <c r="B48" s="29" t="s">
        <v>160</v>
      </c>
      <c r="C48" s="2"/>
      <c r="D48" s="226">
        <f>MIN(D24:E46)</f>
        <v>0</v>
      </c>
      <c r="E48" s="228"/>
      <c r="F48" s="35" t="s">
        <v>161</v>
      </c>
      <c r="G48" s="288">
        <f>(SUM(G15:G46))*D48</f>
        <v>0</v>
      </c>
      <c r="H48" s="2"/>
      <c r="I48" s="2"/>
      <c r="J48" s="2"/>
      <c r="K48" s="2"/>
      <c r="L48" s="2"/>
      <c r="M48" s="225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</row>
    <row r="49" spans="1:70" ht="15" customHeight="1" thickBot="1">
      <c r="A49" s="23"/>
      <c r="B49" s="29" t="s">
        <v>162</v>
      </c>
      <c r="C49" s="2"/>
      <c r="D49" s="286">
        <f>AVERAGE(D24:E46)</f>
        <v>0</v>
      </c>
      <c r="E49" s="4"/>
      <c r="F49" s="2"/>
      <c r="G49" s="2"/>
      <c r="H49" s="33"/>
      <c r="I49" s="33"/>
      <c r="J49" s="2"/>
      <c r="K49" s="2"/>
      <c r="L49" s="2"/>
      <c r="M49" s="24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</row>
    <row r="50" spans="1:70" ht="15" customHeight="1" thickBot="1">
      <c r="A50" s="23"/>
      <c r="B50" s="29"/>
      <c r="C50" s="2"/>
      <c r="D50" s="226">
        <f>MAX(D24:E46)</f>
        <v>0</v>
      </c>
      <c r="E50" s="4"/>
      <c r="F50" s="35"/>
      <c r="G50" s="33"/>
      <c r="H50" s="33"/>
      <c r="I50" s="33"/>
      <c r="J50" s="2"/>
      <c r="K50" s="2"/>
      <c r="L50" s="2"/>
      <c r="M50" s="24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</row>
    <row r="51" spans="1:70" s="34" customFormat="1" ht="15" customHeight="1">
      <c r="A51" s="36" t="s">
        <v>163</v>
      </c>
      <c r="B51" s="37"/>
      <c r="C51" s="38" t="s">
        <v>164</v>
      </c>
      <c r="D51" s="32"/>
      <c r="E51" s="4"/>
      <c r="F51" s="28"/>
      <c r="G51" s="33"/>
      <c r="H51" s="33"/>
      <c r="I51" s="33"/>
      <c r="J51" s="2"/>
      <c r="K51" s="2"/>
      <c r="L51" s="2"/>
      <c r="M51" s="24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</row>
    <row r="52" spans="1:70" ht="14.4" customHeight="1" thickBot="1">
      <c r="A52" s="25"/>
      <c r="B52" s="26"/>
      <c r="C52" s="27"/>
      <c r="D52" s="223"/>
      <c r="E52" s="223"/>
      <c r="F52" s="223"/>
      <c r="G52" s="223"/>
      <c r="H52" s="223"/>
      <c r="I52" s="223"/>
      <c r="J52" s="223"/>
      <c r="K52" s="223"/>
      <c r="L52" s="223"/>
      <c r="M52" s="224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</row>
    <row r="53" spans="1:70" ht="4.5" customHeight="1">
      <c r="A53" s="1"/>
      <c r="B53" s="1"/>
      <c r="C53" s="1"/>
      <c r="D53" s="3"/>
      <c r="E53" s="3"/>
      <c r="F53" s="1"/>
      <c r="G53" s="1"/>
      <c r="H53" s="1"/>
      <c r="I53" s="1"/>
      <c r="J53" s="1"/>
      <c r="K53" s="1"/>
      <c r="L53" s="1"/>
      <c r="M53" s="1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</row>
    <row r="54" spans="1:70" ht="12.75" customHeight="1"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</row>
    <row r="55" spans="1:70"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</row>
    <row r="56" spans="1:70"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</row>
    <row r="57" spans="1:70"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</row>
    <row r="58" spans="1:70"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</row>
    <row r="59" spans="1:70"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</row>
    <row r="60" spans="1:70"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</row>
    <row r="61" spans="1:70"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</row>
    <row r="62" spans="1:70"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</row>
    <row r="63" spans="1:70"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</row>
    <row r="64" spans="1:70"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</row>
    <row r="65" spans="35:70"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</row>
    <row r="66" spans="35:70"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</row>
    <row r="67" spans="35:70"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</row>
    <row r="68" spans="35:70"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</row>
    <row r="69" spans="35:70"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</row>
    <row r="70" spans="35:70"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</row>
    <row r="71" spans="35:70"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</row>
    <row r="72" spans="35:70"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</row>
    <row r="73" spans="35:70"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</row>
    <row r="74" spans="35:70"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</row>
    <row r="75" spans="35:70"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</row>
    <row r="76" spans="35:70"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</row>
    <row r="77" spans="35:70"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</row>
    <row r="78" spans="35:70"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</row>
    <row r="79" spans="35:70"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</row>
    <row r="80" spans="35:70"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</row>
    <row r="81" spans="35:70"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</row>
    <row r="82" spans="35:70"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</row>
    <row r="83" spans="35:70"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</row>
    <row r="84" spans="35:70"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</row>
    <row r="85" spans="35:70"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</row>
    <row r="86" spans="35:70"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</row>
    <row r="87" spans="35:70"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</row>
    <row r="88" spans="35:70"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</row>
    <row r="89" spans="35:70"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</row>
    <row r="90" spans="35:70"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</row>
    <row r="91" spans="35:70"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</row>
    <row r="92" spans="35:70"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</row>
    <row r="93" spans="35:70"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</row>
    <row r="94" spans="35:70"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</row>
    <row r="95" spans="35:70"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</row>
    <row r="96" spans="35:70"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</row>
    <row r="97" spans="35:70"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</row>
    <row r="98" spans="35:70"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</row>
    <row r="99" spans="35:70"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</row>
    <row r="100" spans="35:70"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</row>
    <row r="101" spans="35:70"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</row>
    <row r="102" spans="35:70"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</row>
    <row r="103" spans="35:70"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</row>
    <row r="104" spans="35:70"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</row>
    <row r="105" spans="35:70"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</row>
    <row r="106" spans="35:70"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</row>
    <row r="107" spans="35:70"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</row>
    <row r="108" spans="35:70"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</row>
    <row r="109" spans="35:70"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</row>
    <row r="110" spans="35:70"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</row>
    <row r="111" spans="35:70"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</row>
    <row r="112" spans="35:70"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</row>
    <row r="113" spans="35:70"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</row>
    <row r="114" spans="35:70"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</row>
    <row r="115" spans="35:70"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</row>
    <row r="116" spans="35:70"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</row>
    <row r="117" spans="35:70"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</row>
    <row r="118" spans="35:70"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</row>
    <row r="119" spans="35:70"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</row>
    <row r="120" spans="35:70"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</row>
    <row r="121" spans="35:70"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</row>
    <row r="122" spans="35:70"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</row>
    <row r="123" spans="35:70"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</row>
    <row r="124" spans="35:70"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</row>
    <row r="125" spans="35:70"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</row>
    <row r="126" spans="35:70"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</row>
    <row r="127" spans="35:70"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</row>
    <row r="128" spans="35:70"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</row>
    <row r="129" spans="35:70"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</row>
    <row r="130" spans="35:70"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</row>
    <row r="131" spans="35:70"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</row>
    <row r="132" spans="35:70"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</row>
    <row r="133" spans="35:70"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</row>
    <row r="134" spans="35:70"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</row>
    <row r="135" spans="35:70"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</row>
    <row r="136" spans="35:70"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</row>
    <row r="137" spans="35:70"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</row>
    <row r="138" spans="35:70"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</row>
    <row r="139" spans="35:70"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</row>
    <row r="140" spans="35:70"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</row>
    <row r="141" spans="35:70"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</row>
    <row r="142" spans="35:70"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</row>
    <row r="143" spans="35:70"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</row>
    <row r="144" spans="35:70"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</row>
    <row r="145" spans="35:70"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</row>
    <row r="146" spans="35:70"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</row>
    <row r="147" spans="35:70"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</row>
    <row r="148" spans="35:70"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</row>
    <row r="149" spans="35:70"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</row>
    <row r="150" spans="35:70"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</row>
    <row r="151" spans="35:70"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</row>
    <row r="152" spans="35:70"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</row>
    <row r="153" spans="35:70"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</row>
    <row r="154" spans="35:70"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</row>
    <row r="155" spans="35:70"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</row>
    <row r="156" spans="35:70"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</row>
    <row r="157" spans="35:70"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</row>
    <row r="158" spans="35:70"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</row>
    <row r="159" spans="35:70"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</row>
    <row r="160" spans="35:70"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</row>
    <row r="161" spans="35:70"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</row>
    <row r="162" spans="35:70"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</row>
    <row r="163" spans="35:70"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</row>
    <row r="164" spans="35:70"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</row>
    <row r="165" spans="35:70"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</row>
    <row r="166" spans="35:70"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</row>
    <row r="167" spans="35:70"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</row>
    <row r="168" spans="35:70"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</row>
    <row r="169" spans="35:70"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</row>
    <row r="170" spans="35:70"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</row>
    <row r="171" spans="35:70"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</row>
    <row r="172" spans="35:70"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</row>
    <row r="173" spans="35:70"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</row>
    <row r="174" spans="35:70"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</row>
    <row r="175" spans="35:70"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</row>
  </sheetData>
  <mergeCells count="59">
    <mergeCell ref="A1:B4"/>
    <mergeCell ref="C1:I4"/>
    <mergeCell ref="J1:M4"/>
    <mergeCell ref="C6:I6"/>
    <mergeCell ref="D11:E14"/>
    <mergeCell ref="F11:F14"/>
    <mergeCell ref="G11:G14"/>
    <mergeCell ref="H11:I14"/>
    <mergeCell ref="J11:M11"/>
    <mergeCell ref="J12:K14"/>
    <mergeCell ref="L19:M22"/>
    <mergeCell ref="L12:M14"/>
    <mergeCell ref="D15:E18"/>
    <mergeCell ref="F15:F18"/>
    <mergeCell ref="G15:G18"/>
    <mergeCell ref="H15:I18"/>
    <mergeCell ref="J15:K18"/>
    <mergeCell ref="L15:M18"/>
    <mergeCell ref="D19:E22"/>
    <mergeCell ref="F19:F22"/>
    <mergeCell ref="G19:G22"/>
    <mergeCell ref="H19:I22"/>
    <mergeCell ref="J19:K22"/>
    <mergeCell ref="L27:M30"/>
    <mergeCell ref="D23:E26"/>
    <mergeCell ref="F23:F26"/>
    <mergeCell ref="G23:G26"/>
    <mergeCell ref="H23:I26"/>
    <mergeCell ref="J23:K26"/>
    <mergeCell ref="L23:M26"/>
    <mergeCell ref="D27:E30"/>
    <mergeCell ref="F27:F30"/>
    <mergeCell ref="G27:G30"/>
    <mergeCell ref="H27:I30"/>
    <mergeCell ref="J27:K30"/>
    <mergeCell ref="L35:M38"/>
    <mergeCell ref="D31:E34"/>
    <mergeCell ref="F31:F34"/>
    <mergeCell ref="G31:G34"/>
    <mergeCell ref="H31:I34"/>
    <mergeCell ref="J31:K34"/>
    <mergeCell ref="L31:M34"/>
    <mergeCell ref="D35:E38"/>
    <mergeCell ref="F35:F38"/>
    <mergeCell ref="G35:G38"/>
    <mergeCell ref="H35:I38"/>
    <mergeCell ref="J35:K38"/>
    <mergeCell ref="L43:M46"/>
    <mergeCell ref="D39:E42"/>
    <mergeCell ref="F39:F42"/>
    <mergeCell ref="G39:G42"/>
    <mergeCell ref="H39:I42"/>
    <mergeCell ref="J39:K42"/>
    <mergeCell ref="L39:M42"/>
    <mergeCell ref="F43:F46"/>
    <mergeCell ref="G43:G46"/>
    <mergeCell ref="H43:I46"/>
    <mergeCell ref="J43:K46"/>
    <mergeCell ref="D43:E47"/>
  </mergeCells>
  <conditionalFormatting sqref="D15:E42 D43">
    <cfRule type="cellIs" dxfId="5" priority="1" operator="greaterThan">
      <formula>"0.5"</formula>
    </cfRule>
    <cfRule type="cellIs" dxfId="4" priority="2" operator="between">
      <formula>"0.1"</formula>
      <formula>"0.5"</formula>
    </cfRule>
    <cfRule type="cellIs" dxfId="3" priority="3" operator="equal">
      <formula>0</formula>
    </cfRule>
  </conditionalFormatting>
  <printOptions horizontalCentered="1" verticalCentered="1"/>
  <pageMargins left="0.27559055118110237" right="0.19685039370078741" top="0.43307086614173229" bottom="0.43307086614173229" header="0.31496062992125984" footer="0.39370078740157483"/>
  <pageSetup paperSize="9" orientation="portrait" horizontalDpi="1200" verticalDpi="1200" r:id="rId1"/>
  <headerFooter alignWithMargins="0">
    <oddHeader>&amp;LPI 3010 Enclosure 1(a) / 09.24</oddHeader>
    <oddFooter xml:space="preserve"><![CDATA[&L_x000D_&1#&"Arial"&10&K000000 [Internal]&R&",Standard"&7    ]]></oddFooter>
  </headerFooter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1D8DD-8391-41B9-830E-FFF6DCDE4C76}">
  <sheetPr>
    <pageSetUpPr fitToPage="1"/>
  </sheetPr>
  <dimension ref="A1:BR175"/>
  <sheetViews>
    <sheetView showGridLines="0" zoomScale="145" zoomScaleNormal="145" zoomScaleSheetLayoutView="115" zoomScalePageLayoutView="85" workbookViewId="0">
      <selection activeCell="P42" sqref="P42"/>
    </sheetView>
  </sheetViews>
  <sheetFormatPr baseColWidth="10" defaultColWidth="11.44140625" defaultRowHeight="12.6"/>
  <cols>
    <col min="1" max="1" customWidth="true" style="2" width="13.33203125"/>
    <col min="2" max="2" customWidth="true" style="2" width="11.5546875"/>
    <col min="3" max="3" customWidth="true" style="2" width="6.33203125"/>
    <col min="4" max="4" customWidth="true" style="4" width="5.5546875"/>
    <col min="5" max="5" customWidth="true" style="4" width="5.6640625"/>
    <col min="6" max="7" customWidth="true" style="2" width="10.6640625"/>
    <col min="8" max="13" customWidth="true" style="2" width="5.5546875"/>
    <col min="14" max="16384" style="2" width="11.44140625"/>
  </cols>
  <sheetData>
    <row r="1" spans="1:70" ht="7.95" customHeight="1">
      <c r="A1" s="325"/>
      <c r="B1" s="326"/>
      <c r="C1" s="331" t="s">
        <v>144</v>
      </c>
      <c r="D1" s="332"/>
      <c r="E1" s="332"/>
      <c r="F1" s="332"/>
      <c r="G1" s="332"/>
      <c r="H1" s="332"/>
      <c r="I1" s="333"/>
      <c r="J1" s="340" t="s">
        <v>213</v>
      </c>
      <c r="K1" s="341"/>
      <c r="L1" s="341"/>
      <c r="M1" s="34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</row>
    <row r="2" spans="1:70" s="30" customFormat="1" ht="15" customHeight="1">
      <c r="A2" s="327"/>
      <c r="B2" s="328"/>
      <c r="C2" s="334"/>
      <c r="D2" s="335"/>
      <c r="E2" s="335"/>
      <c r="F2" s="335"/>
      <c r="G2" s="335"/>
      <c r="H2" s="335"/>
      <c r="I2" s="336"/>
      <c r="J2" s="343"/>
      <c r="K2" s="344"/>
      <c r="L2" s="344"/>
      <c r="M2" s="345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</row>
    <row r="3" spans="1:70" s="30" customFormat="1" ht="17.100000000000001" customHeight="1">
      <c r="A3" s="327"/>
      <c r="B3" s="328"/>
      <c r="C3" s="334"/>
      <c r="D3" s="335"/>
      <c r="E3" s="335"/>
      <c r="F3" s="335"/>
      <c r="G3" s="335"/>
      <c r="H3" s="335"/>
      <c r="I3" s="336"/>
      <c r="J3" s="343"/>
      <c r="K3" s="344"/>
      <c r="L3" s="344"/>
      <c r="M3" s="345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</row>
    <row r="4" spans="1:70" s="30" customFormat="1" ht="14.1" customHeight="1" thickBot="1">
      <c r="A4" s="329"/>
      <c r="B4" s="330"/>
      <c r="C4" s="337"/>
      <c r="D4" s="338"/>
      <c r="E4" s="338"/>
      <c r="F4" s="338"/>
      <c r="G4" s="338"/>
      <c r="H4" s="338"/>
      <c r="I4" s="339"/>
      <c r="J4" s="346"/>
      <c r="K4" s="347"/>
      <c r="L4" s="347"/>
      <c r="M4" s="348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</row>
    <row r="5" spans="1:70" ht="6.75" customHeight="1">
      <c r="A5" s="20"/>
      <c r="B5" s="5"/>
      <c r="C5" s="5"/>
      <c r="D5" s="6"/>
      <c r="E5" s="6"/>
      <c r="F5" s="5"/>
      <c r="G5" s="5"/>
      <c r="H5" s="5"/>
      <c r="I5" s="5"/>
      <c r="J5" s="5"/>
      <c r="K5" s="5"/>
      <c r="L5" s="5"/>
      <c r="M5" s="17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</row>
    <row r="6" spans="1:70" ht="17.399999999999999">
      <c r="A6" s="21"/>
      <c r="B6" s="13"/>
      <c r="C6" s="349" t="s">
        <v>145</v>
      </c>
      <c r="D6" s="349"/>
      <c r="E6" s="349"/>
      <c r="F6" s="349"/>
      <c r="G6" s="349"/>
      <c r="H6" s="349"/>
      <c r="I6" s="349"/>
      <c r="J6" s="258"/>
      <c r="L6" s="13"/>
      <c r="M6" s="18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</row>
    <row r="7" spans="1:70" ht="6" customHeight="1">
      <c r="A7" s="16"/>
      <c r="B7" s="7"/>
      <c r="C7" s="7"/>
      <c r="D7" s="8"/>
      <c r="E7" s="9"/>
      <c r="F7" s="10"/>
      <c r="G7" s="7"/>
      <c r="H7" s="7"/>
      <c r="I7" s="7"/>
      <c r="J7" s="7"/>
      <c r="K7" s="7"/>
      <c r="L7" s="7"/>
      <c r="M7" s="19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</row>
    <row r="8" spans="1:70" ht="12.75" customHeight="1">
      <c r="A8" s="20" t="s">
        <v>146</v>
      </c>
      <c r="B8" s="259"/>
      <c r="C8" s="10"/>
      <c r="D8" s="14"/>
      <c r="F8" s="15" t="s">
        <v>147</v>
      </c>
      <c r="G8" s="5"/>
      <c r="H8" s="5"/>
      <c r="I8" s="5"/>
      <c r="J8" s="10"/>
      <c r="K8" s="11"/>
      <c r="L8" s="12"/>
      <c r="M8" s="17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</row>
    <row r="9" spans="1:70" ht="12.75" customHeight="1">
      <c r="A9" s="21"/>
      <c r="B9" s="259"/>
      <c r="C9" s="10"/>
      <c r="D9" s="14"/>
      <c r="F9" s="15"/>
      <c r="G9" s="5"/>
      <c r="H9" s="5"/>
      <c r="I9" s="5"/>
      <c r="J9" s="10"/>
      <c r="K9" s="11"/>
      <c r="L9" s="12"/>
      <c r="M9" s="17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</row>
    <row r="10" spans="1:70" ht="6.75" customHeight="1" thickBot="1">
      <c r="A10" s="16"/>
      <c r="B10" s="5"/>
      <c r="C10" s="5"/>
      <c r="D10" s="6"/>
      <c r="E10" s="6"/>
      <c r="F10" s="12"/>
      <c r="G10" s="5"/>
      <c r="H10" s="5"/>
      <c r="I10" s="5"/>
      <c r="J10" s="5"/>
      <c r="K10" s="5"/>
      <c r="L10" s="5"/>
      <c r="M10" s="17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</row>
    <row r="11" spans="1:70" ht="12.75" customHeight="1" thickBot="1">
      <c r="A11" s="235" t="s">
        <v>148</v>
      </c>
      <c r="B11" s="236"/>
      <c r="C11" s="237"/>
      <c r="D11" s="350" t="s">
        <v>149</v>
      </c>
      <c r="E11" s="351"/>
      <c r="F11" s="356" t="s">
        <v>150</v>
      </c>
      <c r="G11" s="356" t="s">
        <v>151</v>
      </c>
      <c r="H11" s="359" t="s">
        <v>152</v>
      </c>
      <c r="I11" s="360"/>
      <c r="J11" s="365" t="s">
        <v>153</v>
      </c>
      <c r="K11" s="366"/>
      <c r="L11" s="366"/>
      <c r="M11" s="367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</row>
    <row r="12" spans="1:70" ht="12.75" customHeight="1">
      <c r="A12" s="238" t="s">
        <v>154</v>
      </c>
      <c r="B12" s="239"/>
      <c r="C12" s="240"/>
      <c r="D12" s="352"/>
      <c r="E12" s="353"/>
      <c r="F12" s="357"/>
      <c r="G12" s="357"/>
      <c r="H12" s="361"/>
      <c r="I12" s="362"/>
      <c r="J12" s="359" t="s">
        <v>155</v>
      </c>
      <c r="K12" s="360"/>
      <c r="L12" s="320" t="s">
        <v>156</v>
      </c>
      <c r="M12" s="321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</row>
    <row r="13" spans="1:70" ht="12.75" customHeight="1">
      <c r="A13" s="238" t="s">
        <v>157</v>
      </c>
      <c r="B13" s="239"/>
      <c r="C13" s="240"/>
      <c r="D13" s="352"/>
      <c r="E13" s="353"/>
      <c r="F13" s="357"/>
      <c r="G13" s="357"/>
      <c r="H13" s="361"/>
      <c r="I13" s="362"/>
      <c r="J13" s="368"/>
      <c r="K13" s="369"/>
      <c r="L13" s="322"/>
      <c r="M13" s="323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</row>
    <row r="14" spans="1:70" ht="12.75" customHeight="1">
      <c r="A14" s="241" t="s">
        <v>158</v>
      </c>
      <c r="B14" s="242"/>
      <c r="C14" s="243"/>
      <c r="D14" s="354"/>
      <c r="E14" s="355"/>
      <c r="F14" s="358"/>
      <c r="G14" s="358"/>
      <c r="H14" s="363"/>
      <c r="I14" s="364"/>
      <c r="J14" s="361"/>
      <c r="K14" s="369"/>
      <c r="L14" s="324"/>
      <c r="M14" s="323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</row>
    <row r="15" spans="1:70" ht="12.75" customHeight="1">
      <c r="A15" s="244"/>
      <c r="B15" s="245"/>
      <c r="C15" s="246"/>
      <c r="D15" s="308">
        <v>0</v>
      </c>
      <c r="E15" s="309"/>
      <c r="F15" s="316"/>
      <c r="G15" s="315"/>
      <c r="H15" s="308"/>
      <c r="I15" s="302"/>
      <c r="J15" s="301" t="s">
        <v>20</v>
      </c>
      <c r="K15" s="312"/>
      <c r="L15" s="290"/>
      <c r="M15" s="291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</row>
    <row r="16" spans="1:70" ht="12.75" customHeight="1">
      <c r="A16" s="247"/>
      <c r="B16" s="248"/>
      <c r="C16" s="249"/>
      <c r="D16" s="310"/>
      <c r="E16" s="311"/>
      <c r="F16" s="317"/>
      <c r="G16" s="298"/>
      <c r="H16" s="303"/>
      <c r="I16" s="304"/>
      <c r="J16" s="303"/>
      <c r="K16" s="313"/>
      <c r="L16" s="292"/>
      <c r="M16" s="293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</row>
    <row r="17" spans="1:70" ht="12.75" customHeight="1">
      <c r="A17" s="247"/>
      <c r="B17" s="248"/>
      <c r="C17" s="249"/>
      <c r="D17" s="305"/>
      <c r="E17" s="304"/>
      <c r="F17" s="318"/>
      <c r="G17" s="299"/>
      <c r="H17" s="305"/>
      <c r="I17" s="304"/>
      <c r="J17" s="305"/>
      <c r="K17" s="313"/>
      <c r="L17" s="294"/>
      <c r="M17" s="293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</row>
    <row r="18" spans="1:70" ht="12.75" customHeight="1">
      <c r="A18" s="250"/>
      <c r="B18" s="251"/>
      <c r="C18" s="252"/>
      <c r="D18" s="306"/>
      <c r="E18" s="307"/>
      <c r="F18" s="319"/>
      <c r="G18" s="300"/>
      <c r="H18" s="306"/>
      <c r="I18" s="307"/>
      <c r="J18" s="306"/>
      <c r="K18" s="314"/>
      <c r="L18" s="295"/>
      <c r="M18" s="296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</row>
    <row r="19" spans="1:70" ht="12.75" customHeight="1">
      <c r="A19" s="244"/>
      <c r="B19" s="245"/>
      <c r="C19" s="246"/>
      <c r="D19" s="308">
        <v>0</v>
      </c>
      <c r="E19" s="309"/>
      <c r="F19" s="316"/>
      <c r="G19" s="315"/>
      <c r="H19" s="308"/>
      <c r="I19" s="302"/>
      <c r="J19" s="301" t="s">
        <v>20</v>
      </c>
      <c r="K19" s="312"/>
      <c r="L19" s="290"/>
      <c r="M19" s="291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</row>
    <row r="20" spans="1:70" ht="12.75" customHeight="1">
      <c r="A20" s="247"/>
      <c r="B20" s="248"/>
      <c r="C20" s="249"/>
      <c r="D20" s="310"/>
      <c r="E20" s="311"/>
      <c r="F20" s="317"/>
      <c r="G20" s="298"/>
      <c r="H20" s="303"/>
      <c r="I20" s="304"/>
      <c r="J20" s="303"/>
      <c r="K20" s="313"/>
      <c r="L20" s="292"/>
      <c r="M20" s="293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</row>
    <row r="21" spans="1:70" ht="12.75" customHeight="1">
      <c r="A21" s="247"/>
      <c r="B21" s="248"/>
      <c r="C21" s="249"/>
      <c r="D21" s="305"/>
      <c r="E21" s="304"/>
      <c r="F21" s="318"/>
      <c r="G21" s="299"/>
      <c r="H21" s="305"/>
      <c r="I21" s="304"/>
      <c r="J21" s="305"/>
      <c r="K21" s="313"/>
      <c r="L21" s="294"/>
      <c r="M21" s="293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</row>
    <row r="22" spans="1:70" ht="12.75" customHeight="1">
      <c r="A22" s="250"/>
      <c r="B22" s="251"/>
      <c r="C22" s="252"/>
      <c r="D22" s="306"/>
      <c r="E22" s="307"/>
      <c r="F22" s="319"/>
      <c r="G22" s="300"/>
      <c r="H22" s="306"/>
      <c r="I22" s="307"/>
      <c r="J22" s="306"/>
      <c r="K22" s="314"/>
      <c r="L22" s="295"/>
      <c r="M22" s="296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</row>
    <row r="23" spans="1:70" ht="12.75" customHeight="1">
      <c r="A23" s="244"/>
      <c r="B23" s="245"/>
      <c r="C23" s="246"/>
      <c r="D23" s="308">
        <v>0</v>
      </c>
      <c r="E23" s="309"/>
      <c r="F23" s="316"/>
      <c r="G23" s="315"/>
      <c r="H23" s="308"/>
      <c r="I23" s="302"/>
      <c r="J23" s="301" t="s">
        <v>20</v>
      </c>
      <c r="K23" s="312"/>
      <c r="L23" s="290"/>
      <c r="M23" s="291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</row>
    <row r="24" spans="1:70" ht="12.75" customHeight="1">
      <c r="A24" s="247"/>
      <c r="B24" s="248"/>
      <c r="C24" s="249"/>
      <c r="D24" s="310"/>
      <c r="E24" s="311"/>
      <c r="F24" s="317"/>
      <c r="G24" s="298"/>
      <c r="H24" s="303"/>
      <c r="I24" s="304"/>
      <c r="J24" s="303"/>
      <c r="K24" s="313"/>
      <c r="L24" s="292"/>
      <c r="M24" s="293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</row>
    <row r="25" spans="1:70" ht="12.75" customHeight="1">
      <c r="A25" s="247"/>
      <c r="B25" s="248"/>
      <c r="C25" s="249"/>
      <c r="D25" s="305"/>
      <c r="E25" s="304"/>
      <c r="F25" s="318"/>
      <c r="G25" s="299"/>
      <c r="H25" s="305"/>
      <c r="I25" s="304"/>
      <c r="J25" s="305"/>
      <c r="K25" s="313"/>
      <c r="L25" s="294"/>
      <c r="M25" s="293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</row>
    <row r="26" spans="1:70" ht="12.75" customHeight="1">
      <c r="A26" s="250"/>
      <c r="B26" s="251"/>
      <c r="C26" s="252"/>
      <c r="D26" s="306"/>
      <c r="E26" s="307"/>
      <c r="F26" s="319"/>
      <c r="G26" s="300"/>
      <c r="H26" s="306"/>
      <c r="I26" s="307"/>
      <c r="J26" s="306"/>
      <c r="K26" s="314"/>
      <c r="L26" s="295"/>
      <c r="M26" s="296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</row>
    <row r="27" spans="1:70" ht="12.75" customHeight="1">
      <c r="A27" s="244"/>
      <c r="B27" s="245"/>
      <c r="C27" s="246"/>
      <c r="D27" s="308">
        <v>0</v>
      </c>
      <c r="E27" s="309"/>
      <c r="F27" s="316"/>
      <c r="G27" s="315"/>
      <c r="H27" s="308"/>
      <c r="I27" s="302"/>
      <c r="J27" s="301" t="s">
        <v>20</v>
      </c>
      <c r="K27" s="312"/>
      <c r="L27" s="290"/>
      <c r="M27" s="291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</row>
    <row r="28" spans="1:70" ht="12.75" customHeight="1">
      <c r="A28" s="247"/>
      <c r="B28" s="248"/>
      <c r="C28" s="249"/>
      <c r="D28" s="310"/>
      <c r="E28" s="311"/>
      <c r="F28" s="317"/>
      <c r="G28" s="298"/>
      <c r="H28" s="303"/>
      <c r="I28" s="304"/>
      <c r="J28" s="303"/>
      <c r="K28" s="313"/>
      <c r="L28" s="292"/>
      <c r="M28" s="293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</row>
    <row r="29" spans="1:70" ht="12.75" customHeight="1">
      <c r="A29" s="247"/>
      <c r="B29" s="248"/>
      <c r="C29" s="249"/>
      <c r="D29" s="305"/>
      <c r="E29" s="304"/>
      <c r="F29" s="318"/>
      <c r="G29" s="299"/>
      <c r="H29" s="305"/>
      <c r="I29" s="304"/>
      <c r="J29" s="305"/>
      <c r="K29" s="313"/>
      <c r="L29" s="294"/>
      <c r="M29" s="293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</row>
    <row r="30" spans="1:70" ht="12.75" customHeight="1">
      <c r="A30" s="250"/>
      <c r="B30" s="251"/>
      <c r="C30" s="252"/>
      <c r="D30" s="306"/>
      <c r="E30" s="307"/>
      <c r="F30" s="319"/>
      <c r="G30" s="300"/>
      <c r="H30" s="306"/>
      <c r="I30" s="307"/>
      <c r="J30" s="306"/>
      <c r="K30" s="314"/>
      <c r="L30" s="295"/>
      <c r="M30" s="296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</row>
    <row r="31" spans="1:70" ht="12.75" customHeight="1">
      <c r="A31" s="244"/>
      <c r="B31" s="245"/>
      <c r="C31" s="246"/>
      <c r="D31" s="308">
        <v>0</v>
      </c>
      <c r="E31" s="309"/>
      <c r="F31" s="316"/>
      <c r="G31" s="315"/>
      <c r="H31" s="308"/>
      <c r="I31" s="302"/>
      <c r="J31" s="301" t="s">
        <v>20</v>
      </c>
      <c r="K31" s="312"/>
      <c r="L31" s="290"/>
      <c r="M31" s="291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</row>
    <row r="32" spans="1:70" ht="12.75" customHeight="1">
      <c r="A32" s="247"/>
      <c r="B32" s="248"/>
      <c r="C32" s="249"/>
      <c r="D32" s="310"/>
      <c r="E32" s="311"/>
      <c r="F32" s="317"/>
      <c r="G32" s="298"/>
      <c r="H32" s="303"/>
      <c r="I32" s="304"/>
      <c r="J32" s="303"/>
      <c r="K32" s="313"/>
      <c r="L32" s="292"/>
      <c r="M32" s="293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</row>
    <row r="33" spans="1:70" ht="12.75" customHeight="1">
      <c r="A33" s="247"/>
      <c r="B33" s="248"/>
      <c r="C33" s="249"/>
      <c r="D33" s="305"/>
      <c r="E33" s="304"/>
      <c r="F33" s="318"/>
      <c r="G33" s="299"/>
      <c r="H33" s="305"/>
      <c r="I33" s="304"/>
      <c r="J33" s="305"/>
      <c r="K33" s="313"/>
      <c r="L33" s="294"/>
      <c r="M33" s="293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</row>
    <row r="34" spans="1:70" ht="12.75" customHeight="1">
      <c r="A34" s="250"/>
      <c r="B34" s="251"/>
      <c r="C34" s="252"/>
      <c r="D34" s="306"/>
      <c r="E34" s="307"/>
      <c r="F34" s="319"/>
      <c r="G34" s="300"/>
      <c r="H34" s="306"/>
      <c r="I34" s="307"/>
      <c r="J34" s="306"/>
      <c r="K34" s="314"/>
      <c r="L34" s="295"/>
      <c r="M34" s="296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</row>
    <row r="35" spans="1:70" ht="12.75" customHeight="1">
      <c r="A35" s="244"/>
      <c r="B35" s="245"/>
      <c r="C35" s="246"/>
      <c r="D35" s="308">
        <v>0</v>
      </c>
      <c r="E35" s="309"/>
      <c r="F35" s="316"/>
      <c r="G35" s="315"/>
      <c r="H35" s="308"/>
      <c r="I35" s="302"/>
      <c r="J35" s="301" t="s">
        <v>20</v>
      </c>
      <c r="K35" s="312"/>
      <c r="L35" s="290"/>
      <c r="M35" s="291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</row>
    <row r="36" spans="1:70" ht="12.75" customHeight="1">
      <c r="A36" s="247"/>
      <c r="B36" s="248"/>
      <c r="C36" s="249"/>
      <c r="D36" s="310"/>
      <c r="E36" s="311"/>
      <c r="F36" s="317"/>
      <c r="G36" s="298"/>
      <c r="H36" s="303"/>
      <c r="I36" s="304"/>
      <c r="J36" s="303"/>
      <c r="K36" s="313"/>
      <c r="L36" s="292"/>
      <c r="M36" s="293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</row>
    <row r="37" spans="1:70" ht="12.75" customHeight="1">
      <c r="A37" s="247"/>
      <c r="B37" s="248"/>
      <c r="C37" s="249"/>
      <c r="D37" s="305"/>
      <c r="E37" s="304"/>
      <c r="F37" s="318"/>
      <c r="G37" s="299"/>
      <c r="H37" s="305"/>
      <c r="I37" s="304"/>
      <c r="J37" s="305"/>
      <c r="K37" s="313"/>
      <c r="L37" s="294"/>
      <c r="M37" s="293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</row>
    <row r="38" spans="1:70" ht="12.75" customHeight="1">
      <c r="A38" s="250"/>
      <c r="B38" s="251"/>
      <c r="C38" s="252"/>
      <c r="D38" s="306"/>
      <c r="E38" s="307"/>
      <c r="F38" s="319"/>
      <c r="G38" s="300"/>
      <c r="H38" s="306"/>
      <c r="I38" s="307"/>
      <c r="J38" s="306"/>
      <c r="K38" s="314"/>
      <c r="L38" s="295"/>
      <c r="M38" s="296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</row>
    <row r="39" spans="1:70" ht="12.75" customHeight="1">
      <c r="A39" s="244"/>
      <c r="B39" s="245"/>
      <c r="C39" s="246"/>
      <c r="D39" s="308">
        <v>0</v>
      </c>
      <c r="E39" s="309"/>
      <c r="F39" s="316"/>
      <c r="G39" s="315"/>
      <c r="H39" s="308"/>
      <c r="I39" s="302"/>
      <c r="J39" s="301" t="s">
        <v>20</v>
      </c>
      <c r="K39" s="312"/>
      <c r="L39" s="290"/>
      <c r="M39" s="291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</row>
    <row r="40" spans="1:70" ht="12.75" customHeight="1">
      <c r="A40" s="247"/>
      <c r="B40" s="248"/>
      <c r="C40" s="249"/>
      <c r="D40" s="310"/>
      <c r="E40" s="311"/>
      <c r="F40" s="317"/>
      <c r="G40" s="298"/>
      <c r="H40" s="303"/>
      <c r="I40" s="304"/>
      <c r="J40" s="303"/>
      <c r="K40" s="313"/>
      <c r="L40" s="292"/>
      <c r="M40" s="293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</row>
    <row r="41" spans="1:70" ht="12.75" customHeight="1">
      <c r="A41" s="247"/>
      <c r="B41" s="248"/>
      <c r="C41" s="249"/>
      <c r="D41" s="305"/>
      <c r="E41" s="304"/>
      <c r="F41" s="318"/>
      <c r="G41" s="299"/>
      <c r="H41" s="305"/>
      <c r="I41" s="304"/>
      <c r="J41" s="305"/>
      <c r="K41" s="313"/>
      <c r="L41" s="294"/>
      <c r="M41" s="293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</row>
    <row r="42" spans="1:70" ht="12.75" customHeight="1">
      <c r="A42" s="250"/>
      <c r="B42" s="251"/>
      <c r="C42" s="252"/>
      <c r="D42" s="306"/>
      <c r="E42" s="307"/>
      <c r="F42" s="319"/>
      <c r="G42" s="300"/>
      <c r="H42" s="306"/>
      <c r="I42" s="307"/>
      <c r="J42" s="306"/>
      <c r="K42" s="314"/>
      <c r="L42" s="295"/>
      <c r="M42" s="296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</row>
    <row r="43" spans="1:70" ht="12.75" customHeight="1">
      <c r="A43" s="244"/>
      <c r="B43" s="245"/>
      <c r="C43" s="246"/>
      <c r="D43" s="468">
        <v>0</v>
      </c>
      <c r="E43" s="468"/>
      <c r="F43" s="316"/>
      <c r="G43" s="315"/>
      <c r="H43" s="308"/>
      <c r="I43" s="302"/>
      <c r="J43" s="301" t="s">
        <v>20</v>
      </c>
      <c r="K43" s="312"/>
      <c r="L43" s="290"/>
      <c r="M43" s="291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</row>
    <row r="44" spans="1:70" ht="12.75" customHeight="1">
      <c r="A44" s="244"/>
      <c r="B44" s="245"/>
      <c r="C44" s="246"/>
      <c r="D44" s="469"/>
      <c r="E44" s="469"/>
      <c r="F44" s="317"/>
      <c r="G44" s="298"/>
      <c r="H44" s="303"/>
      <c r="I44" s="304"/>
      <c r="J44" s="303"/>
      <c r="K44" s="313"/>
      <c r="L44" s="292"/>
      <c r="M44" s="293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</row>
    <row r="45" spans="1:70" ht="12.75" customHeight="1">
      <c r="A45" s="247"/>
      <c r="B45" s="248"/>
      <c r="C45" s="249"/>
      <c r="D45" s="469"/>
      <c r="E45" s="469"/>
      <c r="F45" s="318"/>
      <c r="G45" s="299"/>
      <c r="H45" s="305"/>
      <c r="I45" s="304"/>
      <c r="J45" s="305"/>
      <c r="K45" s="313"/>
      <c r="L45" s="294"/>
      <c r="M45" s="293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</row>
    <row r="46" spans="1:70" ht="12.75" customHeight="1">
      <c r="A46" s="247"/>
      <c r="B46" s="248"/>
      <c r="C46" s="249"/>
      <c r="D46" s="469"/>
      <c r="E46" s="469"/>
      <c r="F46" s="319"/>
      <c r="G46" s="300"/>
      <c r="H46" s="306"/>
      <c r="I46" s="307"/>
      <c r="J46" s="306"/>
      <c r="K46" s="314"/>
      <c r="L46" s="295"/>
      <c r="M46" s="296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</row>
    <row r="47" spans="1:70" ht="12.75" customHeight="1" thickBot="1">
      <c r="A47" s="250"/>
      <c r="B47" s="251"/>
      <c r="C47" s="252"/>
      <c r="D47" s="469"/>
      <c r="E47" s="469"/>
      <c r="F47" s="227"/>
      <c r="G47" s="253"/>
      <c r="H47" s="216"/>
      <c r="I47" s="217"/>
      <c r="J47" s="254"/>
      <c r="K47" s="254"/>
      <c r="L47" s="254"/>
      <c r="M47" s="24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</row>
    <row r="48" spans="1:70" ht="15" customHeight="1" thickBot="1">
      <c r="A48" s="23"/>
      <c r="B48" s="29" t="s">
        <v>160</v>
      </c>
      <c r="C48" s="2"/>
      <c r="D48" s="226">
        <f>MIN(D24:E46)</f>
        <v>0</v>
      </c>
      <c r="E48" s="228"/>
      <c r="F48" s="35" t="s">
        <v>161</v>
      </c>
      <c r="G48" s="288">
        <f>(SUM(G15:G46))*D48</f>
        <v>0</v>
      </c>
      <c r="H48" s="2"/>
      <c r="I48" s="2"/>
      <c r="J48" s="2"/>
      <c r="K48" s="2"/>
      <c r="L48" s="2"/>
      <c r="M48" s="225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</row>
    <row r="49" spans="1:70" ht="15" customHeight="1" thickBot="1">
      <c r="A49" s="23"/>
      <c r="B49" s="29" t="s">
        <v>162</v>
      </c>
      <c r="C49" s="2"/>
      <c r="D49" s="286">
        <f>AVERAGE(D24:E46)</f>
        <v>0</v>
      </c>
      <c r="E49" s="4"/>
      <c r="F49" s="2"/>
      <c r="G49" s="2"/>
      <c r="H49" s="33"/>
      <c r="I49" s="33"/>
      <c r="J49" s="2"/>
      <c r="K49" s="2"/>
      <c r="L49" s="2"/>
      <c r="M49" s="24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</row>
    <row r="50" spans="1:70" ht="15" customHeight="1" thickBot="1">
      <c r="A50" s="23"/>
      <c r="B50" s="29"/>
      <c r="C50" s="2"/>
      <c r="D50" s="226">
        <f>MAX(D24:E46)</f>
        <v>0</v>
      </c>
      <c r="E50" s="4"/>
      <c r="F50" s="35"/>
      <c r="G50" s="33"/>
      <c r="H50" s="33"/>
      <c r="I50" s="33"/>
      <c r="J50" s="2"/>
      <c r="K50" s="2"/>
      <c r="L50" s="2"/>
      <c r="M50" s="24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</row>
    <row r="51" spans="1:70" s="34" customFormat="1" ht="15" customHeight="1">
      <c r="A51" s="36" t="s">
        <v>163</v>
      </c>
      <c r="B51" s="37"/>
      <c r="C51" s="38" t="s">
        <v>164</v>
      </c>
      <c r="D51" s="32"/>
      <c r="E51" s="4"/>
      <c r="F51" s="28"/>
      <c r="G51" s="33"/>
      <c r="H51" s="33"/>
      <c r="I51" s="33"/>
      <c r="J51" s="2"/>
      <c r="K51" s="2"/>
      <c r="L51" s="2"/>
      <c r="M51" s="24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</row>
    <row r="52" spans="1:70" ht="14.4" customHeight="1" thickBot="1">
      <c r="A52" s="25"/>
      <c r="B52" s="26"/>
      <c r="C52" s="27"/>
      <c r="D52" s="223"/>
      <c r="E52" s="223"/>
      <c r="F52" s="223"/>
      <c r="G52" s="223"/>
      <c r="H52" s="223"/>
      <c r="I52" s="223"/>
      <c r="J52" s="223"/>
      <c r="K52" s="223"/>
      <c r="L52" s="223"/>
      <c r="M52" s="224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</row>
    <row r="53" spans="1:70" ht="4.5" customHeight="1">
      <c r="A53" s="1"/>
      <c r="B53" s="1"/>
      <c r="C53" s="1"/>
      <c r="D53" s="3"/>
      <c r="E53" s="3"/>
      <c r="F53" s="1"/>
      <c r="G53" s="1"/>
      <c r="H53" s="1"/>
      <c r="I53" s="1"/>
      <c r="J53" s="1"/>
      <c r="K53" s="1"/>
      <c r="L53" s="1"/>
      <c r="M53" s="1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</row>
    <row r="54" spans="1:70" ht="12.75" customHeight="1"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</row>
    <row r="55" spans="1:70"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</row>
    <row r="56" spans="1:70"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</row>
    <row r="57" spans="1:70"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</row>
    <row r="58" spans="1:70"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</row>
    <row r="59" spans="1:70"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</row>
    <row r="60" spans="1:70"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</row>
    <row r="61" spans="1:70"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</row>
    <row r="62" spans="1:70"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</row>
    <row r="63" spans="1:70"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</row>
    <row r="64" spans="1:70"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</row>
    <row r="65" spans="35:70"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</row>
    <row r="66" spans="35:70"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</row>
    <row r="67" spans="35:70"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</row>
    <row r="68" spans="35:70"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</row>
    <row r="69" spans="35:70"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</row>
    <row r="70" spans="35:70"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</row>
    <row r="71" spans="35:70"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</row>
    <row r="72" spans="35:70"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</row>
    <row r="73" spans="35:70"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</row>
    <row r="74" spans="35:70"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</row>
    <row r="75" spans="35:70"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</row>
    <row r="76" spans="35:70"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</row>
    <row r="77" spans="35:70"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</row>
    <row r="78" spans="35:70"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</row>
    <row r="79" spans="35:70"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</row>
    <row r="80" spans="35:70"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</row>
    <row r="81" spans="35:70"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</row>
    <row r="82" spans="35:70"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</row>
    <row r="83" spans="35:70"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</row>
    <row r="84" spans="35:70"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</row>
    <row r="85" spans="35:70"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</row>
    <row r="86" spans="35:70"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</row>
    <row r="87" spans="35:70"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</row>
    <row r="88" spans="35:70"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</row>
    <row r="89" spans="35:70"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</row>
    <row r="90" spans="35:70"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</row>
    <row r="91" spans="35:70"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</row>
    <row r="92" spans="35:70"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</row>
    <row r="93" spans="35:70"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</row>
    <row r="94" spans="35:70"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</row>
    <row r="95" spans="35:70"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</row>
    <row r="96" spans="35:70"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</row>
    <row r="97" spans="35:70"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</row>
    <row r="98" spans="35:70"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</row>
    <row r="99" spans="35:70"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</row>
    <row r="100" spans="35:70"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</row>
    <row r="101" spans="35:70"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</row>
    <row r="102" spans="35:70"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</row>
    <row r="103" spans="35:70"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</row>
    <row r="104" spans="35:70"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</row>
    <row r="105" spans="35:70"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</row>
    <row r="106" spans="35:70"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</row>
    <row r="107" spans="35:70"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</row>
    <row r="108" spans="35:70"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</row>
    <row r="109" spans="35:70"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</row>
    <row r="110" spans="35:70"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</row>
    <row r="111" spans="35:70"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</row>
    <row r="112" spans="35:70"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</row>
    <row r="113" spans="35:70"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</row>
    <row r="114" spans="35:70"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</row>
    <row r="115" spans="35:70"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</row>
    <row r="116" spans="35:70"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</row>
    <row r="117" spans="35:70"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</row>
    <row r="118" spans="35:70"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</row>
    <row r="119" spans="35:70"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</row>
    <row r="120" spans="35:70"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</row>
    <row r="121" spans="35:70"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</row>
    <row r="122" spans="35:70"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</row>
    <row r="123" spans="35:70"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</row>
    <row r="124" spans="35:70"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</row>
    <row r="125" spans="35:70"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</row>
    <row r="126" spans="35:70"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</row>
    <row r="127" spans="35:70"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</row>
    <row r="128" spans="35:70"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</row>
    <row r="129" spans="35:70"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</row>
    <row r="130" spans="35:70"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</row>
    <row r="131" spans="35:70"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</row>
    <row r="132" spans="35:70"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</row>
    <row r="133" spans="35:70"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</row>
    <row r="134" spans="35:70"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</row>
    <row r="135" spans="35:70"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</row>
    <row r="136" spans="35:70"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</row>
    <row r="137" spans="35:70"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</row>
    <row r="138" spans="35:70"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</row>
    <row r="139" spans="35:70"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</row>
    <row r="140" spans="35:70"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</row>
    <row r="141" spans="35:70"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</row>
    <row r="142" spans="35:70"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</row>
    <row r="143" spans="35:70"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</row>
    <row r="144" spans="35:70"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</row>
    <row r="145" spans="35:70"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</row>
    <row r="146" spans="35:70"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</row>
    <row r="147" spans="35:70"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</row>
    <row r="148" spans="35:70"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</row>
    <row r="149" spans="35:70"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</row>
    <row r="150" spans="35:70"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</row>
    <row r="151" spans="35:70"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</row>
    <row r="152" spans="35:70"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</row>
    <row r="153" spans="35:70"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</row>
    <row r="154" spans="35:70"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</row>
    <row r="155" spans="35:70"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</row>
    <row r="156" spans="35:70"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</row>
    <row r="157" spans="35:70"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</row>
    <row r="158" spans="35:70"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</row>
    <row r="159" spans="35:70"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</row>
    <row r="160" spans="35:70"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</row>
    <row r="161" spans="35:70"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</row>
    <row r="162" spans="35:70"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</row>
    <row r="163" spans="35:70"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</row>
    <row r="164" spans="35:70"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</row>
    <row r="165" spans="35:70"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</row>
    <row r="166" spans="35:70"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</row>
    <row r="167" spans="35:70"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</row>
    <row r="168" spans="35:70"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</row>
    <row r="169" spans="35:70"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</row>
    <row r="170" spans="35:70"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</row>
    <row r="171" spans="35:70"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</row>
    <row r="172" spans="35:70"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</row>
    <row r="173" spans="35:70"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</row>
    <row r="174" spans="35:70"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</row>
    <row r="175" spans="35:70"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</row>
  </sheetData>
  <mergeCells count="59">
    <mergeCell ref="A1:B4"/>
    <mergeCell ref="C1:I4"/>
    <mergeCell ref="J1:M4"/>
    <mergeCell ref="C6:I6"/>
    <mergeCell ref="D11:E14"/>
    <mergeCell ref="F11:F14"/>
    <mergeCell ref="G11:G14"/>
    <mergeCell ref="H11:I14"/>
    <mergeCell ref="J11:M11"/>
    <mergeCell ref="J12:K14"/>
    <mergeCell ref="L19:M22"/>
    <mergeCell ref="L12:M14"/>
    <mergeCell ref="D15:E18"/>
    <mergeCell ref="F15:F18"/>
    <mergeCell ref="G15:G18"/>
    <mergeCell ref="H15:I18"/>
    <mergeCell ref="J15:K18"/>
    <mergeCell ref="L15:M18"/>
    <mergeCell ref="D19:E22"/>
    <mergeCell ref="F19:F22"/>
    <mergeCell ref="G19:G22"/>
    <mergeCell ref="H19:I22"/>
    <mergeCell ref="J19:K22"/>
    <mergeCell ref="L27:M30"/>
    <mergeCell ref="D23:E26"/>
    <mergeCell ref="F23:F26"/>
    <mergeCell ref="G23:G26"/>
    <mergeCell ref="H23:I26"/>
    <mergeCell ref="J23:K26"/>
    <mergeCell ref="L23:M26"/>
    <mergeCell ref="D27:E30"/>
    <mergeCell ref="F27:F30"/>
    <mergeCell ref="G27:G30"/>
    <mergeCell ref="H27:I30"/>
    <mergeCell ref="J27:K30"/>
    <mergeCell ref="L35:M38"/>
    <mergeCell ref="D31:E34"/>
    <mergeCell ref="F31:F34"/>
    <mergeCell ref="G31:G34"/>
    <mergeCell ref="H31:I34"/>
    <mergeCell ref="J31:K34"/>
    <mergeCell ref="L31:M34"/>
    <mergeCell ref="D35:E38"/>
    <mergeCell ref="F35:F38"/>
    <mergeCell ref="G35:G38"/>
    <mergeCell ref="H35:I38"/>
    <mergeCell ref="J35:K38"/>
    <mergeCell ref="L43:M46"/>
    <mergeCell ref="D39:E42"/>
    <mergeCell ref="F39:F42"/>
    <mergeCell ref="G39:G42"/>
    <mergeCell ref="H39:I42"/>
    <mergeCell ref="J39:K42"/>
    <mergeCell ref="L39:M42"/>
    <mergeCell ref="F43:F46"/>
    <mergeCell ref="G43:G46"/>
    <mergeCell ref="H43:I46"/>
    <mergeCell ref="J43:K46"/>
    <mergeCell ref="D43:E47"/>
  </mergeCells>
  <conditionalFormatting sqref="D15:E42 D43">
    <cfRule type="cellIs" dxfId="2" priority="1" operator="greaterThan">
      <formula>"0.5"</formula>
    </cfRule>
    <cfRule type="cellIs" dxfId="1" priority="2" operator="between">
      <formula>"0.1"</formula>
      <formula>"0.5"</formula>
    </cfRule>
    <cfRule type="cellIs" dxfId="0" priority="3" operator="equal">
      <formula>0</formula>
    </cfRule>
  </conditionalFormatting>
  <printOptions horizontalCentered="1" verticalCentered="1"/>
  <pageMargins left="0.27559055118110237" right="0.19685039370078741" top="0.43307086614173229" bottom="0.43307086614173229" header="0.31496062992125984" footer="0.39370078740157483"/>
  <pageSetup paperSize="9" orientation="portrait" horizontalDpi="1200" verticalDpi="1200" r:id="rId1"/>
  <headerFooter alignWithMargins="0">
    <oddHeader>&amp;LPI 3010 Enclosure 1(a) / 09.24</oddHeader>
    <oddFooter xml:space="preserve"><![CDATA[&L_x000D_&1#&"Arial"&10&K000000 [Internal]&R&",Standard"&7    ]]></oddFooter>
  </headerFooter>
  <drawing r:id="rId2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7A3C8BA0194474B8C2D1721741497F7" ma:contentTypeVersion="12" ma:contentTypeDescription="Crée un document." ma:contentTypeScope="" ma:versionID="46e7a40ecb26ceeee1ab48d7384c93e6">
  <xsd:schema xmlns:xsd="http://www.w3.org/2001/XMLSchema" xmlns:xs="http://www.w3.org/2001/XMLSchema" xmlns:p="http://schemas.microsoft.com/office/2006/metadata/properties" xmlns:ns2="b551487c-d48f-4bfa-ad4c-4f8e7f4f7b59" xmlns:ns3="fc05b2e6-3356-4ebc-bdca-2e835cc17b14" targetNamespace="http://schemas.microsoft.com/office/2006/metadata/properties" ma:root="true" ma:fieldsID="361f315431c32fb226c149c86dea750f" ns2:_="" ns3:_="">
    <xsd:import namespace="b551487c-d48f-4bfa-ad4c-4f8e7f4f7b59"/>
    <xsd:import namespace="fc05b2e6-3356-4ebc-bdca-2e835cc17b1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551487c-d48f-4bfa-ad4c-4f8e7f4f7b5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Balises d’images" ma:readOnly="false" ma:fieldId="{5cf76f15-5ced-4ddc-b409-7134ff3c332f}" ma:taxonomyMulti="true" ma:sspId="048bdb5f-3f62-4eaa-8e9d-b6c59e02668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c05b2e6-3356-4ebc-bdca-2e835cc17b14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3ff370cd-c2e8-495f-a0cc-08f327ef5317}" ma:internalName="TaxCatchAll" ma:showField="CatchAllData" ma:web="fc05b2e6-3356-4ebc-bdca-2e835cc17b1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551487c-d48f-4bfa-ad4c-4f8e7f4f7b59">
      <Terms xmlns="http://schemas.microsoft.com/office/infopath/2007/PartnerControls"/>
    </lcf76f155ced4ddcb4097134ff3c332f>
    <TaxCatchAll xmlns="fc05b2e6-3356-4ebc-bdca-2e835cc17b14" xsi:nil="true"/>
  </documentManagement>
</p:properties>
</file>

<file path=customXml/itemProps1.xml><?xml version="1.0" encoding="utf-8"?>
<ds:datastoreItem xmlns:ds="http://schemas.openxmlformats.org/officeDocument/2006/customXml" ds:itemID="{D1C71B5D-2D60-48D4-8CB2-59458D34F55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551487c-d48f-4bfa-ad4c-4f8e7f4f7b59"/>
    <ds:schemaRef ds:uri="fc05b2e6-3356-4ebc-bdca-2e835cc17b1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4FE23DD-49D2-4DCB-B01D-20CBDB9AC2B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6CD0ECC-0901-4E15-AC83-DA8A7D8C615B}">
  <ds:schemaRefs>
    <ds:schemaRef ds:uri="http://schemas.microsoft.com/office/2006/metadata/properties"/>
    <ds:schemaRef ds:uri="http://schemas.microsoft.com/office/infopath/2007/PartnerControls"/>
    <ds:schemaRef ds:uri="b551487c-d48f-4bfa-ad4c-4f8e7f4f7b59"/>
    <ds:schemaRef ds:uri="fc05b2e6-3356-4ebc-bdca-2e835cc17b14"/>
  </ds:schemaRefs>
</ds:datastoreItem>
</file>

<file path=docMetadata/LabelInfo.xml><?xml version="1.0" encoding="utf-8"?>
<clbl:labelList xmlns:clbl="http://schemas.microsoft.com/office/2020/mipLabelMetadata">
  <clbl:label id="{43c1c031-4620-46ba-8d17-94284d681a00}" enabled="1" method="Privileged" siteId="{601e50db-f61c-4594-8e2e-260c58d3cfa1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14</vt:i4>
      </vt:variant>
      <vt:variant>
        <vt:lpstr>Plages nommées</vt:lpstr>
      </vt:variant>
      <vt:variant>
        <vt:i4>13</vt:i4>
      </vt:variant>
    </vt:vector>
  </HeadingPairs>
  <TitlesOfParts>
    <vt:vector size="27" baseType="lpstr">
      <vt:lpstr>Dateneingabe</vt:lpstr>
      <vt:lpstr>Gesamtübersicht</vt:lpstr>
      <vt:lpstr>Janvier</vt:lpstr>
      <vt:lpstr>Fevrier</vt:lpstr>
      <vt:lpstr>Mars</vt:lpstr>
      <vt:lpstr>Avril</vt:lpstr>
      <vt:lpstr>Mai</vt:lpstr>
      <vt:lpstr>Juin</vt:lpstr>
      <vt:lpstr>Juillet</vt:lpstr>
      <vt:lpstr>Aout</vt:lpstr>
      <vt:lpstr>Septembre</vt:lpstr>
      <vt:lpstr>Octobre</vt:lpstr>
      <vt:lpstr>Novembre</vt:lpstr>
      <vt:lpstr>Décembre</vt:lpstr>
      <vt:lpstr>Aout!Zone_d_impression</vt:lpstr>
      <vt:lpstr>Avril!Zone_d_impression</vt:lpstr>
      <vt:lpstr>Dateneingabe!Zone_d_impression</vt:lpstr>
      <vt:lpstr>Décembre!Zone_d_impression</vt:lpstr>
      <vt:lpstr>Fevrier!Zone_d_impression</vt:lpstr>
      <vt:lpstr>Janvier!Zone_d_impression</vt:lpstr>
      <vt:lpstr>Juillet!Zone_d_impression</vt:lpstr>
      <vt:lpstr>Juin!Zone_d_impression</vt:lpstr>
      <vt:lpstr>Mai!Zone_d_impression</vt:lpstr>
      <vt:lpstr>Mars!Zone_d_impression</vt:lpstr>
      <vt:lpstr>Novembre!Zone_d_impression</vt:lpstr>
      <vt:lpstr>Octobre!Zone_d_impression</vt:lpstr>
      <vt:lpstr>Septembre!Zone_d_impression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2002-08-27T07:08:01Z</dcterms:created>
  <dc:creator>Volkswagen AG</dc:creator>
  <cp:lastModifiedBy>BENAMOR, Atef</cp:lastModifiedBy>
  <dcterms:modified xsi:type="dcterms:W3CDTF">2026-05-22T13:34:32Z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3c1c031-4620-46ba-8d17-94284d681a00_Enabled">
    <vt:lpwstr>true</vt:lpwstr>
  </property>
  <property fmtid="{D5CDD505-2E9C-101B-9397-08002B2CF9AE}" pid="3" name="MSIP_Label_43c1c031-4620-46ba-8d17-94284d681a00_SetDate">
    <vt:lpwstr>2023-04-18T09:17:44Z</vt:lpwstr>
  </property>
  <property fmtid="{D5CDD505-2E9C-101B-9397-08002B2CF9AE}" pid="4" name="MSIP_Label_43c1c031-4620-46ba-8d17-94284d681a00_Method">
    <vt:lpwstr>Privileged</vt:lpwstr>
  </property>
  <property fmtid="{D5CDD505-2E9C-101B-9397-08002B2CF9AE}" pid="5" name="MSIP_Label_43c1c031-4620-46ba-8d17-94284d681a00_Name">
    <vt:lpwstr>43c1c031-4620-46ba-8d17-94284d681a00</vt:lpwstr>
  </property>
  <property fmtid="{D5CDD505-2E9C-101B-9397-08002B2CF9AE}" pid="6" name="MSIP_Label_43c1c031-4620-46ba-8d17-94284d681a00_SiteId">
    <vt:lpwstr>601e50db-f61c-4594-8e2e-260c58d3cfa1</vt:lpwstr>
  </property>
  <property fmtid="{D5CDD505-2E9C-101B-9397-08002B2CF9AE}" pid="7" name="MSIP_Label_43c1c031-4620-46ba-8d17-94284d681a00_ActionId">
    <vt:lpwstr>9e0a0e8c-885b-45a4-ae7b-3b66eb0bbe1a</vt:lpwstr>
  </property>
  <property fmtid="{D5CDD505-2E9C-101B-9397-08002B2CF9AE}" pid="8" name="MSIP_Label_43c1c031-4620-46ba-8d17-94284d681a00_ContentBits">
    <vt:lpwstr>2</vt:lpwstr>
  </property>
  <property fmtid="{D5CDD505-2E9C-101B-9397-08002B2CF9AE}" pid="9" name="ContentTypeId">
    <vt:lpwstr>0x010100E7A3C8BA0194474B8C2D1721741497F7</vt:lpwstr>
  </property>
  <property fmtid="{D5CDD505-2E9C-101B-9397-08002B2CF9AE}" pid="10" name="MediaServiceImageTags">
    <vt:lpwstr/>
  </property>
</Properties>
</file>