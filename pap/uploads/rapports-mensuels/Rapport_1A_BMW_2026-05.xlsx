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6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<sst xmlns="http://schemas.openxmlformats.org/spreadsheetml/2006/main" count="619" uniqueCount="252">
  <si>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</si>
  <si>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</si>
  <si>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</si>
  <si>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</si>
  <si>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</si>
  <si>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</si>
  <si>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</si>
  <si>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</si>
  <si>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</si>
  <si>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</si>
  <si>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</si>
  <si>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</si>
  <si>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</si>
  <si>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</si>
  <si>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</si>
  <si>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</si>
  <si>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</si>
  <si>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</si>
  <si>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</si>
  <si>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</si>
  <si>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</si>
  <si>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</si>
  <si>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</si>
  <si>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</si>
  <si>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</si>
  <si>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</si>
  <si>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</si>
  <si>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</si>
  <si>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</si>
  <si>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</si>
  <si>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</si>
  <si>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</si>
  <si>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</si>
  <si>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</si>
  <si>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</si>
  <si>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</si>
  <si>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</si>
  <si>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</si>
  <si>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</si>
  <si>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</si>
  <si>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</si>
  <si>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</si>
  <si>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</si>
  <si>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</si>
  <si>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</si>
  <si>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</si>
  <si>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</si>
  <si>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</si>
  <si>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</si>
  <si>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</si>
  <si>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</si>
  <si>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</si>
  <si>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</si>
  <si>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</si>
  <si>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</si>
  <si>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</si>
  <si>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</si>
  <si>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</si>
  <si>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</si>
  <si>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</si>
  <si>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</si>
  <si>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</si>
  <si>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</si>
  <si>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</si>
  <si>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</si>
  <si>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</si>
  <si>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</si>
  <si>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</si>
  <si>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</si>
  <si>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</si>
  <si>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</si>
  <si>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</si>
  <si>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</si>
  <si>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</si>
  <si>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</si>
  <si>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</si>
  <si>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</si>
  <si>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</si>
  <si>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</si>
  <si>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</si>
  <si>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</si>
  <si>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</si>
  <si>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</si>
  <si>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</si>
  <si>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</si>
  <si>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</si>
  <si>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</si>
  <si>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</si>
  <si>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</si>
  <si>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</si>
  <si>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</si>
  <si>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</si>
  <si>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</si>
  <si>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</si>
  <si>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</si>
  <si>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</si>
  <si>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</si>
  <si>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</si>
  <si>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</si>
  <si>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</si>
  <si>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</si>
  <si>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</si>
  <si>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</si>
  <si>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</si>
  <si>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</si>
  <si>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</si>
  <si>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</si>
  <si>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</si>
  <si>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</si>
  <si>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</si>
  <si>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</si>
  <si>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</si>
  <si>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</si>
  <si>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</si>
  <si>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</si>
  <si>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</si>
  <si>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</si>
  <si>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</si>
  <si>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</si>
  <si>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</si>
  <si>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</si>
  <si>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</si>
  <si>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</si>
  <si>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</si>
  <si>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</si>
  <si>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</si>
  <si>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</si>
  <si>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</si>
  <si>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</si>
  <si>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</si>
  <si>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</si>
  <si>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</si>
  <si>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</si>
  <si>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</si>
  <si>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</si>
  <si>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</si>
  <si>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</si>
  <si>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</si>
  <si>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</si>
  <si>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</si>
  <si>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</si>
  <si>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</si>
  <si>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</si>
  <si>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</si>
  <si>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</si>
  <si>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</si>
  <si>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</si>
  <si>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</si>
  <si>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</si>
  <si>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</si>
  <si>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</si>
  <si>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</si>
  <si>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</si>
  <si>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</si>
  <si>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</si>
  <si>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</si>
  <si>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</si>
  <si>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</si>
  <si>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</si>
  <si>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</si>
  <si>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</si>
  <si>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</si>
  <si>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</si>
  <si>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</si>
  <si>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</si>
  <si>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</si>
  <si>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</si>
  <si>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</si>
  <si>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</si>
  <si>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</si>
  <si>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</si>
  <si>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</si>
  <si>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</si>
  <si>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</si>
  <si>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</si>
  <si>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</si>
  <si>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</si>
  <si>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</si>
  <si>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</si>
  <si>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</si>
  <si>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</si>
  <si>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</si>
  <si>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</si>
  <si>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</si>
  <si>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</si>
  <si>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</si>
  <si>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</si>
  <si>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</si>
  <si>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</si>
  <si>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</si>
  <si>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</si>
  <si>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</si>
  <si>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</si>
  <si>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</si>
  <si>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</si>
  <si>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</si>
  <si>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</si>
  <si>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</si>
  <si>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</si>
  <si>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</si>
  <si>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</si>
  <si>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</si>
  <si>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</si>
  <si>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</si>
  <si>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</si>
  <si>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</si>
  <si>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</si>
  <si>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</si>
  <si>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</si>
  <si>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</si>
  <si>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</si>
  <si>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</si>
  <si>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</si>
  <si>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</si>
  <si>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</si>
  <si>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</si>
  <si>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</si>
  <si>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</si>
  <si>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</si>
  <si>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</si>
  <si>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</si>
  <si>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</si>
  <si>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</si>
  <si>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</si>
  <si>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</si>
  <si>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</si>
  <si>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</si>
  <si>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</si>
  <si>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05/2026</t>
  </si>
  <si>
    <t xml:space="preserve">Manufacturing Plant : BMW </t>
  </si>
  <si>
    <t>PDC HI G20 G28</t>
  </si>
  <si>
    <t>AP-2026-002</t>
  </si>
  <si>
    <t>07/05/2026</t>
  </si>
  <si>
    <t>Auditeur2_ BMW</t>
  </si>
  <si>
    <t>N</t>
  </si>
  <si>
    <t>PDC HI G20/G28</t>
  </si>
  <si>
    <t>5A5C310A</t>
  </si>
  <si>
    <t xml:space="preserve">Mohamed Mohamed </t>
  </si>
  <si>
    <t>ADAPTER HBL G21</t>
  </si>
  <si>
    <t>8709219-01</t>
  </si>
  <si>
    <t>13/05/2026</t>
  </si>
  <si>
    <t>Auditeur1_ BMW</t>
  </si>
  <si>
    <t>TUER FA G20/G21</t>
  </si>
  <si>
    <t>5A20657</t>
  </si>
  <si>
    <t>15/05/2026</t>
  </si>
  <si>
    <t>ZB LTG Standheizung G2x</t>
  </si>
  <si>
    <t>8716327-01</t>
  </si>
  <si>
    <t>16/05/2026</t>
  </si>
  <si>
    <t>ZB LTG EKMV AWD G26 BEV</t>
  </si>
  <si>
    <t>5A86336B</t>
  </si>
  <si>
    <t>18/05/2026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</si>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</sst>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 tabSelected="false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 tabSelected="false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 tabSelected="false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 tabSelected="false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 tabSelected="false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true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230</v>
      </c>
      <c r="B15" s="245"/>
      <c r="C15" s="246"/>
      <c r="D15" s="471" t="n">
        <v>0.12</v>
      </c>
      <c r="E15" s="309"/>
      <c r="F15" s="316"/>
      <c r="G15" s="315"/>
      <c r="H15" s="308"/>
      <c r="I15" s="302"/>
      <c r="J15" s="301"/>
      <c r="K15" s="312"/>
      <c r="L15" s="290" t="s">
        <v>234</v>
      </c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231</v>
      </c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232</v>
      </c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 t="s">
        <v>233</v>
      </c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235</v>
      </c>
      <c r="B19" s="245"/>
      <c r="C19" s="246"/>
      <c r="D19" s="471" t="n">
        <v>0.38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236</v>
      </c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 t="s">
        <v>232</v>
      </c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 t="s">
        <v>237</v>
      </c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238</v>
      </c>
      <c r="B23" s="245"/>
      <c r="C23" s="246"/>
      <c r="D23" s="471" t="n">
        <v>0.4</v>
      </c>
      <c r="E23" s="309"/>
      <c r="F23" s="315" t="n">
        <v>2.0</v>
      </c>
      <c r="G23" s="297" t="n">
        <v>50.0</v>
      </c>
      <c r="H23" s="301" t="n">
        <v>0.9</v>
      </c>
      <c r="I23" s="302"/>
      <c r="J23" s="301"/>
      <c r="K23" s="312"/>
      <c r="L23" s="290" t="s">
        <v>234</v>
      </c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239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 t="s">
        <v>240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 t="s">
        <v>241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242</v>
      </c>
      <c r="B27" s="245"/>
      <c r="C27" s="246"/>
      <c r="D27" s="472" t="n">
        <v>0.7</v>
      </c>
      <c r="E27" s="309"/>
      <c r="F27" s="297" t="n">
        <v>1.0</v>
      </c>
      <c r="G27" s="297" t="n">
        <v>100.0</v>
      </c>
      <c r="H27" s="301" t="n">
        <v>0.9</v>
      </c>
      <c r="I27" s="302"/>
      <c r="J27" s="301"/>
      <c r="K27" s="312"/>
      <c r="L27" s="290" t="s">
        <v>234</v>
      </c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243</v>
      </c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 t="s">
        <v>244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 t="s">
        <v>241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245</v>
      </c>
      <c r="B31" s="245"/>
      <c r="C31" s="246"/>
      <c r="D31" s="471" t="n">
        <v>0.2</v>
      </c>
      <c r="E31" s="309"/>
      <c r="F31" s="297" t="n">
        <v>1.0</v>
      </c>
      <c r="G31" s="297" t="n">
        <v>25.0</v>
      </c>
      <c r="H31" s="301" t="n">
        <v>0.9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246</v>
      </c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 t="s">
        <v>247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 t="s">
        <v>241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248</v>
      </c>
      <c r="B35" s="245"/>
      <c r="C35" s="246"/>
      <c r="D35" s="471" t="n">
        <v>0.2</v>
      </c>
      <c r="E35" s="309"/>
      <c r="F35" s="297" t="n">
        <v>1.0</v>
      </c>
      <c r="G35" s="297" t="n">
        <v>25.0</v>
      </c>
      <c r="H35" s="301" t="n">
        <v>0.9</v>
      </c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249</v>
      </c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 t="s">
        <v>250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 t="s">
        <v>241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 t="s">
        <v>248</v>
      </c>
      <c r="B39" s="245"/>
      <c r="C39" s="246"/>
      <c r="D39" s="471" t="n">
        <v>0.2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 t="s">
        <v>249</v>
      </c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250</v>
      </c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 t="s">
        <v>241</v>
      </c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 t="s">
        <v>238</v>
      </c>
      <c r="B43" s="245"/>
      <c r="C43" s="246"/>
      <c r="D43" s="471" t="n">
        <v>0.2</v>
      </c>
      <c r="E43" s="468"/>
      <c r="F43" s="297" t="n">
        <v>1.0</v>
      </c>
      <c r="G43" s="297" t="n">
        <v>25.0</v>
      </c>
      <c r="H43" s="301" t="n">
        <v>0.9</v>
      </c>
      <c r="I43" s="302"/>
      <c r="J43" s="301"/>
      <c r="K43" s="312"/>
      <c r="L43" s="290" t="s">
        <v>234</v>
      </c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239</v>
      </c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251</v>
      </c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 t="s">
        <v>241</v>
      </c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 tabSelected="false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/>
      <c r="E15" s="309"/>
      <c r="F15" s="316"/>
      <c r="G15" s="315"/>
      <c r="H15" s="308"/>
      <c r="I15" s="302"/>
      <c r="J15" s="301"/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/>
      <c r="E19" s="309"/>
      <c r="F19" s="316"/>
      <c r="G19" s="315"/>
      <c r="H19" s="301"/>
      <c r="I19" s="302"/>
      <c r="J19" s="301"/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/>
      <c r="E23" s="309"/>
      <c r="F23" s="315"/>
      <c r="G23" s="297"/>
      <c r="H23" s="301"/>
      <c r="I23" s="302"/>
      <c r="J23" s="301"/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/>
      <c r="E27" s="309"/>
      <c r="F27" s="297"/>
      <c r="G27" s="297"/>
      <c r="H27" s="301"/>
      <c r="I27" s="302"/>
      <c r="J27" s="301"/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/>
      <c r="E31" s="309"/>
      <c r="F31" s="297"/>
      <c r="G31" s="297"/>
      <c r="H31" s="301"/>
      <c r="I31" s="302"/>
      <c r="J31" s="301"/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/>
      <c r="E35" s="309"/>
      <c r="F35" s="297"/>
      <c r="G35" s="297"/>
      <c r="H35" s="301"/>
      <c r="I35" s="302"/>
      <c r="J35" s="301"/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/>
      <c r="E39" s="309"/>
      <c r="F39" s="297"/>
      <c r="G39" s="297"/>
      <c r="H39" s="301"/>
      <c r="I39" s="302"/>
      <c r="J39" s="301"/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/>
      <c r="E43" s="468"/>
      <c r="F43" s="297"/>
      <c r="G43" s="297"/>
      <c r="H43" s="301"/>
      <c r="I43" s="302"/>
      <c r="J43" s="301"/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159</v>
      </c>
      <c r="C48" s="2"/>
      <c r="D48" s="226">
        <f>IFERROR(MIN(D15:D46),"")</f>
      </c>
      <c r="E48" s="228"/>
      <c r="F48" s="35"/>
      <c r="G48" s="288"/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IFERROR(AVERAGE(D15:D46),"")</f>
      </c>
      <c r="E49" s="4"/>
      <c r="F49" t="s" s="35">
        <v>161</v>
      </c>
      <c r="G49" s="288">
        <f>IFERROR((SUM(G15:G46))*D49,"")</f>
      </c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IFERROR(MAX(D15:D46),"")</f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2:M14"/>
    <mergeCell ref="L19:M22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6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